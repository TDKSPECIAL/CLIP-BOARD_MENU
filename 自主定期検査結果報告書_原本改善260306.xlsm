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Users\a419397\Desktop\RuRuchann\"/>
    </mc:Choice>
  </mc:AlternateContent>
  <xr:revisionPtr revIDLastSave="0" documentId="13_ncr:1_{F49F9D88-53F2-4F85-9D84-A8C90B25B94B}" xr6:coauthVersionLast="47" xr6:coauthVersionMax="47" xr10:uidLastSave="{00000000-0000-0000-0000-000000000000}"/>
  <bookViews>
    <workbookView xWindow="1965" yWindow="2535" windowWidth="21600" windowHeight="11295" xr2:uid="{00000000-000D-0000-FFFF-FFFF00000000}"/>
  </bookViews>
  <sheets>
    <sheet name="2022年5月～" sheetId="1" r:id="rId1"/>
    <sheet name="rireki" sheetId="2" r:id="rId2"/>
  </sheets>
  <definedNames>
    <definedName name="_xlnm.Print_Area" localSheetId="0">'2022年5月～'!$A$1:$AK$58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1" i="1" l="1"/>
  <c r="AY10" i="1"/>
  <c r="AZ10" i="1" s="1"/>
  <c r="O3" i="1" s="1"/>
  <c r="AN46" i="1"/>
  <c r="E41" i="1"/>
  <c r="AO42" i="1"/>
  <c r="AN48" i="1"/>
  <c r="E39" i="1" s="1"/>
  <c r="AS17" i="1"/>
  <c r="AT18" i="1" s="1"/>
  <c r="AO37" i="1"/>
  <c r="AO38" i="1"/>
  <c r="AM51" i="1"/>
  <c r="E36" i="1"/>
  <c r="AR11" i="1" l="1"/>
  <c r="AR10" i="1"/>
  <c r="AR9" i="1"/>
  <c r="AR8" i="1"/>
  <c r="AR7" i="1"/>
  <c r="AR6" i="1"/>
  <c r="AR5" i="1"/>
  <c r="AR4" i="1"/>
  <c r="AN23" i="1"/>
  <c r="AT17" i="1"/>
  <c r="J8" i="1" s="1"/>
  <c r="J5" i="1"/>
  <c r="AM55" i="1"/>
  <c r="AM54" i="1"/>
  <c r="AM53" i="1"/>
  <c r="AM52" i="1"/>
  <c r="AO35" i="1"/>
  <c r="E35" i="1" s="1"/>
  <c r="AO34" i="1"/>
  <c r="E34" i="1" s="1"/>
  <c r="AO33" i="1"/>
  <c r="E33" i="1" s="1"/>
  <c r="AO32" i="1"/>
  <c r="E32" i="1" s="1"/>
  <c r="AO31" i="1"/>
  <c r="E31" i="1" s="1"/>
  <c r="AO30" i="1"/>
  <c r="E30" i="1" s="1"/>
  <c r="AO29" i="1"/>
  <c r="E29" i="1" s="1"/>
  <c r="AO28" i="1"/>
  <c r="E28" i="1" s="1"/>
  <c r="AO27" i="1"/>
  <c r="E27" i="1" s="1"/>
  <c r="AO26" i="1"/>
  <c r="E26" i="1" s="1"/>
  <c r="AN24" i="1"/>
  <c r="AO23" i="1" l="1"/>
  <c r="E2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tdk</author>
  </authors>
  <commentList>
    <comment ref="AL22" authorId="0" shapeId="0" xr:uid="{0FFBF42E-5C6D-48C5-A5FF-8CD6CEDEB6A3}">
      <text>
        <r>
          <rPr>
            <sz val="9"/>
            <color indexed="81"/>
            <rFont val="MS P ゴシック"/>
            <family val="3"/>
            <charset val="128"/>
          </rPr>
          <t xml:space="preserve">
</t>
        </r>
        <r>
          <rPr>
            <b/>
            <sz val="9"/>
            <color indexed="81"/>
            <rFont val="MS P ゴシック"/>
            <family val="3"/>
            <charset val="128"/>
          </rPr>
          <t>検査実施した計器の定義：</t>
        </r>
        <r>
          <rPr>
            <sz val="9"/>
            <color indexed="81"/>
            <rFont val="MS P ゴシック"/>
            <family val="3"/>
            <charset val="128"/>
          </rPr>
          <t xml:space="preserve">
生産に寄与する計器で、実際に全試験項目を検査しデータ取得できた使用中の計器又は代替え用予備計器）を対象とします。　
（注：途中でデータがとれない状態は故障(E)扱いで検査実施台数対象からは外します。）
</t>
        </r>
      </text>
    </comment>
    <comment ref="AN23" authorId="0" shapeId="0" xr:uid="{2735DCED-1383-4207-BFB6-7B245F6B2AE9}">
      <text>
        <r>
          <rPr>
            <sz val="9"/>
            <color indexed="81"/>
            <rFont val="MS P ゴシック"/>
            <family val="3"/>
            <charset val="128"/>
          </rPr>
          <t xml:space="preserve">このセルは記入不要となりました。
</t>
        </r>
      </text>
    </comment>
    <comment ref="AL25" authorId="0" shapeId="0" xr:uid="{065477A8-80AF-4D0F-9D37-A32CE3707FD0}">
      <text>
        <r>
          <rPr>
            <sz val="9"/>
            <color indexed="81"/>
            <rFont val="MS P ゴシック"/>
            <family val="3"/>
            <charset val="128"/>
          </rPr>
          <t xml:space="preserve">ピボット処理での計測器名と台数は検査実施した分のみ
</t>
        </r>
      </text>
    </comment>
  </commentList>
</comments>
</file>

<file path=xl/sharedStrings.xml><?xml version="1.0" encoding="utf-8"?>
<sst xmlns="http://schemas.openxmlformats.org/spreadsheetml/2006/main" count="205" uniqueCount="150">
  <si>
    <t>04月度</t>
    <rPh sb="2" eb="3">
      <t>ガツ</t>
    </rPh>
    <rPh sb="3" eb="4">
      <t>ド</t>
    </rPh>
    <phoneticPr fontId="3"/>
  </si>
  <si>
    <t>【記録計】　自主検査結果報告書</t>
    <rPh sb="1" eb="4">
      <t>キロクケイ</t>
    </rPh>
    <rPh sb="6" eb="8">
      <t>ジシュ</t>
    </rPh>
    <rPh sb="8" eb="10">
      <t>ケンサ</t>
    </rPh>
    <rPh sb="10" eb="12">
      <t>ケッカ</t>
    </rPh>
    <rPh sb="12" eb="14">
      <t>ホウコク</t>
    </rPh>
    <rPh sb="14" eb="15">
      <t>ショ</t>
    </rPh>
    <phoneticPr fontId="3"/>
  </si>
  <si>
    <t>確　認</t>
    <rPh sb="0" eb="1">
      <t>カタシ</t>
    </rPh>
    <rPh sb="2" eb="3">
      <t>シノブ</t>
    </rPh>
    <phoneticPr fontId="3"/>
  </si>
  <si>
    <t>作　成</t>
    <rPh sb="0" eb="1">
      <t>サク</t>
    </rPh>
    <rPh sb="2" eb="3">
      <t>ナル</t>
    </rPh>
    <phoneticPr fontId="3"/>
  </si>
  <si>
    <t>部　門　名：</t>
    <rPh sb="0" eb="1">
      <t>ブ</t>
    </rPh>
    <rPh sb="2" eb="3">
      <t>モン</t>
    </rPh>
    <rPh sb="4" eb="5">
      <t>メイ</t>
    </rPh>
    <phoneticPr fontId="3"/>
  </si>
  <si>
    <t>部門コード：</t>
    <rPh sb="0" eb="2">
      <t>ブモン</t>
    </rPh>
    <phoneticPr fontId="3"/>
  </si>
  <si>
    <t>上記部門の自主検査結果をご報告致します。</t>
    <rPh sb="0" eb="2">
      <t>ジョウキ</t>
    </rPh>
    <rPh sb="2" eb="4">
      <t>ブモン</t>
    </rPh>
    <rPh sb="5" eb="7">
      <t>ジシュ</t>
    </rPh>
    <rPh sb="7" eb="9">
      <t>ケンサ</t>
    </rPh>
    <rPh sb="9" eb="11">
      <t>ケッカ</t>
    </rPh>
    <rPh sb="13" eb="15">
      <t>ホウコク</t>
    </rPh>
    <rPh sb="15" eb="16">
      <t>イタ</t>
    </rPh>
    <phoneticPr fontId="3"/>
  </si>
  <si>
    <t>個々の計測器の検査結果については、「定期検査予定通知・実績表」をご参照下さい。</t>
    <rPh sb="0" eb="2">
      <t>ココ</t>
    </rPh>
    <rPh sb="3" eb="6">
      <t>ケイソクキ</t>
    </rPh>
    <rPh sb="7" eb="9">
      <t>ケンサ</t>
    </rPh>
    <rPh sb="9" eb="11">
      <t>ケッカ</t>
    </rPh>
    <rPh sb="18" eb="20">
      <t>テイキ</t>
    </rPh>
    <rPh sb="20" eb="22">
      <t>ケンサ</t>
    </rPh>
    <rPh sb="22" eb="24">
      <t>ヨテイ</t>
    </rPh>
    <rPh sb="24" eb="26">
      <t>ツウチ</t>
    </rPh>
    <rPh sb="27" eb="29">
      <t>ジッセキ</t>
    </rPh>
    <rPh sb="29" eb="30">
      <t>ヒョウ</t>
    </rPh>
    <rPh sb="33" eb="35">
      <t>サンショウ</t>
    </rPh>
    <rPh sb="35" eb="36">
      <t>クダ</t>
    </rPh>
    <phoneticPr fontId="3"/>
  </si>
  <si>
    <t>部門</t>
    <rPh sb="0" eb="2">
      <t>ブモン</t>
    </rPh>
    <phoneticPr fontId="3"/>
  </si>
  <si>
    <t>計測コード</t>
    <rPh sb="0" eb="2">
      <t>ケイソク</t>
    </rPh>
    <phoneticPr fontId="3"/>
  </si>
  <si>
    <t>工程</t>
    <rPh sb="0" eb="2">
      <t>コウテイ</t>
    </rPh>
    <phoneticPr fontId="3"/>
  </si>
  <si>
    <t>検査種類</t>
    <rPh sb="0" eb="2">
      <t>ケンサ</t>
    </rPh>
    <rPh sb="2" eb="4">
      <t>シュルイ</t>
    </rPh>
    <phoneticPr fontId="3"/>
  </si>
  <si>
    <t>検査年</t>
    <rPh sb="0" eb="2">
      <t>ケンサ</t>
    </rPh>
    <rPh sb="2" eb="3">
      <t>ネン</t>
    </rPh>
    <phoneticPr fontId="3"/>
  </si>
  <si>
    <t>検査月</t>
    <rPh sb="0" eb="2">
      <t>ケンサ</t>
    </rPh>
    <rPh sb="2" eb="3">
      <t>ツキ</t>
    </rPh>
    <phoneticPr fontId="3"/>
  </si>
  <si>
    <t>由利工業(株)</t>
    <rPh sb="0" eb="2">
      <t>ユリ</t>
    </rPh>
    <rPh sb="2" eb="4">
      <t>コウギョウ</t>
    </rPh>
    <rPh sb="5" eb="6">
      <t>カブ</t>
    </rPh>
    <phoneticPr fontId="3"/>
  </si>
  <si>
    <t>C1983E1</t>
    <phoneticPr fontId="3"/>
  </si>
  <si>
    <t>【長さ計】　自主検査結果報告書</t>
    <rPh sb="1" eb="2">
      <t>ナガ</t>
    </rPh>
    <rPh sb="3" eb="4">
      <t>ケイ</t>
    </rPh>
    <rPh sb="6" eb="8">
      <t>ジシュ</t>
    </rPh>
    <rPh sb="8" eb="10">
      <t>ケンサ</t>
    </rPh>
    <rPh sb="10" eb="12">
      <t>ケッカ</t>
    </rPh>
    <rPh sb="12" eb="14">
      <t>ホウコク</t>
    </rPh>
    <rPh sb="14" eb="15">
      <t>ショ</t>
    </rPh>
    <phoneticPr fontId="3"/>
  </si>
  <si>
    <t>2015年</t>
    <rPh sb="4" eb="5">
      <t>ネン</t>
    </rPh>
    <phoneticPr fontId="3"/>
  </si>
  <si>
    <t>C1983N1</t>
    <phoneticPr fontId="3"/>
  </si>
  <si>
    <t>【重さ計】　自主検査結果報告書</t>
    <rPh sb="1" eb="2">
      <t>オモ</t>
    </rPh>
    <rPh sb="3" eb="4">
      <t>ケイ</t>
    </rPh>
    <rPh sb="6" eb="8">
      <t>ジシュ</t>
    </rPh>
    <rPh sb="8" eb="10">
      <t>ケンサ</t>
    </rPh>
    <rPh sb="10" eb="12">
      <t>ケッカ</t>
    </rPh>
    <rPh sb="12" eb="14">
      <t>ホウコク</t>
    </rPh>
    <rPh sb="14" eb="15">
      <t>ショ</t>
    </rPh>
    <phoneticPr fontId="3"/>
  </si>
  <si>
    <t>02月度</t>
    <rPh sb="2" eb="3">
      <t>ガツ</t>
    </rPh>
    <rPh sb="3" eb="4">
      <t>ド</t>
    </rPh>
    <phoneticPr fontId="3"/>
  </si>
  <si>
    <t>雄勝セラミックス(株)</t>
    <rPh sb="0" eb="2">
      <t>オガチ</t>
    </rPh>
    <rPh sb="9" eb="10">
      <t>カブ</t>
    </rPh>
    <phoneticPr fontId="3"/>
  </si>
  <si>
    <t>C1983F1</t>
    <phoneticPr fontId="3"/>
  </si>
  <si>
    <t>05月度</t>
    <rPh sb="2" eb="3">
      <t>ガツ</t>
    </rPh>
    <rPh sb="3" eb="4">
      <t>ド</t>
    </rPh>
    <phoneticPr fontId="3"/>
  </si>
  <si>
    <t>品質保証部門</t>
    <rPh sb="0" eb="2">
      <t>ヒンシツ</t>
    </rPh>
    <rPh sb="2" eb="4">
      <t>ホショウ</t>
    </rPh>
    <rPh sb="4" eb="6">
      <t>ブモン</t>
    </rPh>
    <phoneticPr fontId="3"/>
  </si>
  <si>
    <t>C1980A1</t>
    <phoneticPr fontId="3"/>
  </si>
  <si>
    <t>材料・シート成型・印刷</t>
    <rPh sb="0" eb="1">
      <t>ザイ</t>
    </rPh>
    <rPh sb="1" eb="2">
      <t>リョウ</t>
    </rPh>
    <rPh sb="6" eb="8">
      <t>セイケイ</t>
    </rPh>
    <rPh sb="9" eb="11">
      <t>インサツ</t>
    </rPh>
    <phoneticPr fontId="3"/>
  </si>
  <si>
    <t>08月度</t>
    <rPh sb="2" eb="3">
      <t>ガツ</t>
    </rPh>
    <rPh sb="3" eb="4">
      <t>ド</t>
    </rPh>
    <phoneticPr fontId="3"/>
  </si>
  <si>
    <t>C1980B1</t>
    <phoneticPr fontId="3"/>
  </si>
  <si>
    <t>積層</t>
    <rPh sb="0" eb="2">
      <t>セキソウ</t>
    </rPh>
    <phoneticPr fontId="3"/>
  </si>
  <si>
    <t>09月度</t>
    <rPh sb="2" eb="3">
      <t>ガツ</t>
    </rPh>
    <rPh sb="3" eb="4">
      <t>ド</t>
    </rPh>
    <phoneticPr fontId="3"/>
  </si>
  <si>
    <t>C1980C1</t>
    <phoneticPr fontId="3"/>
  </si>
  <si>
    <t>プレス</t>
    <phoneticPr fontId="3"/>
  </si>
  <si>
    <t>C1980D1</t>
    <phoneticPr fontId="3"/>
  </si>
  <si>
    <t>切断</t>
    <rPh sb="0" eb="2">
      <t>セツダン</t>
    </rPh>
    <phoneticPr fontId="3"/>
  </si>
  <si>
    <t>C1980E1</t>
    <phoneticPr fontId="3"/>
  </si>
  <si>
    <t>C1980F1</t>
    <phoneticPr fontId="3"/>
  </si>
  <si>
    <t>端部塗布</t>
    <rPh sb="0" eb="2">
      <t>タンブ</t>
    </rPh>
    <rPh sb="2" eb="4">
      <t>トフ</t>
    </rPh>
    <phoneticPr fontId="3"/>
  </si>
  <si>
    <t>C1980G1</t>
    <phoneticPr fontId="3"/>
  </si>
  <si>
    <t>めっき</t>
    <phoneticPr fontId="3"/>
  </si>
  <si>
    <t>C1980H1</t>
    <phoneticPr fontId="3"/>
  </si>
  <si>
    <t>測定</t>
    <rPh sb="0" eb="2">
      <t>ソクテイ</t>
    </rPh>
    <phoneticPr fontId="3"/>
  </si>
  <si>
    <t>C1980J1</t>
    <phoneticPr fontId="3"/>
  </si>
  <si>
    <t>素地外観・製品外観・製品検査</t>
    <rPh sb="0" eb="2">
      <t>ソジ</t>
    </rPh>
    <rPh sb="2" eb="4">
      <t>ガイカン</t>
    </rPh>
    <rPh sb="5" eb="7">
      <t>セイヒン</t>
    </rPh>
    <rPh sb="7" eb="9">
      <t>ガイカン</t>
    </rPh>
    <rPh sb="10" eb="12">
      <t>セイヒン</t>
    </rPh>
    <rPh sb="12" eb="14">
      <t>ケンサ</t>
    </rPh>
    <phoneticPr fontId="3"/>
  </si>
  <si>
    <t>C1980K1</t>
    <phoneticPr fontId="3"/>
  </si>
  <si>
    <t>包装・メガキャップ</t>
    <rPh sb="0" eb="2">
      <t>ホウソウ</t>
    </rPh>
    <phoneticPr fontId="3"/>
  </si>
  <si>
    <t>C1980L1</t>
    <phoneticPr fontId="3"/>
  </si>
  <si>
    <t>自動</t>
    <rPh sb="0" eb="2">
      <t>ジドウ</t>
    </rPh>
    <phoneticPr fontId="3"/>
  </si>
  <si>
    <t>データ組立完成部</t>
    <rPh sb="3" eb="5">
      <t>クミタテ</t>
    </rPh>
    <rPh sb="5" eb="7">
      <t>カンセイ</t>
    </rPh>
    <rPh sb="7" eb="8">
      <t>ブ</t>
    </rPh>
    <phoneticPr fontId="3"/>
  </si>
  <si>
    <t>合</t>
  </si>
  <si>
    <t>不</t>
  </si>
  <si>
    <t>E ：故障</t>
    <rPh sb="3" eb="5">
      <t>コショウ</t>
    </rPh>
    <phoneticPr fontId="3"/>
  </si>
  <si>
    <t>H ：廃棄</t>
    <rPh sb="3" eb="5">
      <t>ハイキ</t>
    </rPh>
    <phoneticPr fontId="3"/>
  </si>
  <si>
    <t>U ：遊休</t>
    <rPh sb="3" eb="5">
      <t>ユウキュウ</t>
    </rPh>
    <phoneticPr fontId="3"/>
  </si>
  <si>
    <t>Z ：不明</t>
    <rPh sb="3" eb="5">
      <t>フメイ</t>
    </rPh>
    <phoneticPr fontId="3"/>
  </si>
  <si>
    <t>部門間移動</t>
    <rPh sb="0" eb="2">
      <t>ブモン</t>
    </rPh>
    <rPh sb="2" eb="3">
      <t>カン</t>
    </rPh>
    <rPh sb="3" eb="5">
      <t>イドウ</t>
    </rPh>
    <phoneticPr fontId="3"/>
  </si>
  <si>
    <t>不合格あり時</t>
    <rPh sb="0" eb="2">
      <t>フゴウ</t>
    </rPh>
    <rPh sb="2" eb="3">
      <t>カク</t>
    </rPh>
    <rPh sb="5" eb="6">
      <t>ジ</t>
    </rPh>
    <phoneticPr fontId="3"/>
  </si>
  <si>
    <t>故障計器あり時</t>
    <rPh sb="0" eb="2">
      <t>コショウ</t>
    </rPh>
    <rPh sb="2" eb="4">
      <t>ケイキ</t>
    </rPh>
    <rPh sb="6" eb="7">
      <t>ジ</t>
    </rPh>
    <phoneticPr fontId="3"/>
  </si>
  <si>
    <t>廃棄処理あり時</t>
    <rPh sb="0" eb="2">
      <t>ハイキ</t>
    </rPh>
    <rPh sb="2" eb="4">
      <t>ショリ</t>
    </rPh>
    <rPh sb="6" eb="7">
      <t>ジ</t>
    </rPh>
    <phoneticPr fontId="3"/>
  </si>
  <si>
    <t>遊休あり時</t>
    <rPh sb="0" eb="2">
      <t>ユウキュウ</t>
    </rPh>
    <rPh sb="4" eb="5">
      <t>ジ</t>
    </rPh>
    <phoneticPr fontId="3"/>
  </si>
  <si>
    <t>移動あり時</t>
    <rPh sb="0" eb="2">
      <t>イドウ</t>
    </rPh>
    <rPh sb="4" eb="5">
      <t>ジ</t>
    </rPh>
    <phoneticPr fontId="3"/>
  </si>
  <si>
    <t>入力規則位置情報</t>
    <rPh sb="0" eb="2">
      <t>ニュウリョク</t>
    </rPh>
    <rPh sb="2" eb="4">
      <t>キソク</t>
    </rPh>
    <rPh sb="4" eb="6">
      <t>イチ</t>
    </rPh>
    <rPh sb="6" eb="8">
      <t>ジョウホウ</t>
    </rPh>
    <phoneticPr fontId="3"/>
  </si>
  <si>
    <t>2020年</t>
    <rPh sb="4" eb="5">
      <t>ネン</t>
    </rPh>
    <phoneticPr fontId="1"/>
  </si>
  <si>
    <t>データ退避処理追加検討および退避部コーディング</t>
    <rPh sb="3" eb="5">
      <t>タイヒ</t>
    </rPh>
    <rPh sb="5" eb="7">
      <t>ショリ</t>
    </rPh>
    <rPh sb="7" eb="9">
      <t>ツイカ</t>
    </rPh>
    <rPh sb="9" eb="11">
      <t>ケントウ</t>
    </rPh>
    <rPh sb="14" eb="16">
      <t>タイヒ</t>
    </rPh>
    <rPh sb="16" eb="17">
      <t>ブ</t>
    </rPh>
    <phoneticPr fontId="1"/>
  </si>
  <si>
    <t>データ退避処理追加元に戻す処理部コーディング</t>
    <rPh sb="3" eb="5">
      <t>タイヒ</t>
    </rPh>
    <rPh sb="5" eb="7">
      <t>ショリ</t>
    </rPh>
    <rPh sb="7" eb="9">
      <t>ツイカ</t>
    </rPh>
    <rPh sb="9" eb="10">
      <t>モト</t>
    </rPh>
    <rPh sb="11" eb="12">
      <t>モド</t>
    </rPh>
    <rPh sb="13" eb="15">
      <t>ショリ</t>
    </rPh>
    <rPh sb="15" eb="16">
      <t>ブ</t>
    </rPh>
    <phoneticPr fontId="1"/>
  </si>
  <si>
    <t>データ退避処理デバッグ＆　シート保護処理検討および基本保護処理コーディング</t>
    <rPh sb="3" eb="5">
      <t>タイヒ</t>
    </rPh>
    <rPh sb="5" eb="7">
      <t>ショリ</t>
    </rPh>
    <rPh sb="16" eb="18">
      <t>ホゴ</t>
    </rPh>
    <rPh sb="18" eb="20">
      <t>ショリ</t>
    </rPh>
    <rPh sb="20" eb="22">
      <t>ケントウ</t>
    </rPh>
    <rPh sb="25" eb="27">
      <t>キホン</t>
    </rPh>
    <rPh sb="27" eb="29">
      <t>ホゴ</t>
    </rPh>
    <rPh sb="29" eb="31">
      <t>ショリ</t>
    </rPh>
    <phoneticPr fontId="1"/>
  </si>
  <si>
    <t>【自主定期検査結果報告書のもっと良くして対応】</t>
    <rPh sb="1" eb="3">
      <t>ジシュ</t>
    </rPh>
    <rPh sb="3" eb="5">
      <t>テイキ</t>
    </rPh>
    <rPh sb="5" eb="7">
      <t>ケンサ</t>
    </rPh>
    <rPh sb="7" eb="9">
      <t>ケッカ</t>
    </rPh>
    <rPh sb="9" eb="12">
      <t>ホウコクショ</t>
    </rPh>
    <rPh sb="16" eb="17">
      <t>ヨ</t>
    </rPh>
    <rPh sb="20" eb="22">
      <t>タイオウ</t>
    </rPh>
    <phoneticPr fontId="1"/>
  </si>
  <si>
    <t>シート保護状態をラベル追加で視認可化</t>
    <rPh sb="3" eb="5">
      <t>ホゴ</t>
    </rPh>
    <rPh sb="5" eb="7">
      <t>ジョウタイ</t>
    </rPh>
    <rPh sb="11" eb="13">
      <t>ツイカ</t>
    </rPh>
    <rPh sb="14" eb="16">
      <t>シニン</t>
    </rPh>
    <rPh sb="16" eb="17">
      <t>カ</t>
    </rPh>
    <rPh sb="17" eb="18">
      <t>カ</t>
    </rPh>
    <phoneticPr fontId="1"/>
  </si>
  <si>
    <t>検討予定：アドイン的にフォーム起動でシート保護を行うようにする。</t>
    <rPh sb="0" eb="2">
      <t>ケントウ</t>
    </rPh>
    <rPh sb="2" eb="4">
      <t>ヨテイ</t>
    </rPh>
    <rPh sb="9" eb="10">
      <t>テキ</t>
    </rPh>
    <rPh sb="15" eb="17">
      <t>キドウ</t>
    </rPh>
    <rPh sb="21" eb="23">
      <t>ホゴ</t>
    </rPh>
    <rPh sb="24" eb="25">
      <t>オコナ</t>
    </rPh>
    <phoneticPr fontId="1"/>
  </si>
  <si>
    <t>TDKｴﾚｸﾄﾛﾆｸｽﾌｧｸﾄﾘｰｽﾞ㈱</t>
    <phoneticPr fontId="1"/>
  </si>
  <si>
    <t>本荘工場西ｻｲﾄ</t>
    <rPh sb="0" eb="4">
      <t>ホンジョウコウジョウ</t>
    </rPh>
    <rPh sb="4" eb="5">
      <t>ニシ</t>
    </rPh>
    <phoneticPr fontId="1"/>
  </si>
  <si>
    <t>2022年</t>
    <rPh sb="4" eb="5">
      <t>ネン</t>
    </rPh>
    <phoneticPr fontId="1"/>
  </si>
  <si>
    <t>会社名変更（4月）により同期化</t>
    <rPh sb="0" eb="3">
      <t>カイシャメイ</t>
    </rPh>
    <rPh sb="3" eb="5">
      <t>ヘンコウ</t>
    </rPh>
    <rPh sb="7" eb="8">
      <t>ガツ</t>
    </rPh>
    <rPh sb="12" eb="15">
      <t>ドウキカ</t>
    </rPh>
    <phoneticPr fontId="1"/>
  </si>
  <si>
    <t>カレンダーよりの年月日書き込み位置変更　Cells（7,28）➡　Cells(6,27)</t>
    <rPh sb="8" eb="11">
      <t>ネンゲツヒ</t>
    </rPh>
    <rPh sb="11" eb="12">
      <t>カ</t>
    </rPh>
    <rPh sb="13" eb="14">
      <t>コ</t>
    </rPh>
    <rPh sb="15" eb="17">
      <t>イチ</t>
    </rPh>
    <rPh sb="17" eb="19">
      <t>ヘンコウ</t>
    </rPh>
    <phoneticPr fontId="1"/>
  </si>
  <si>
    <t>西暦入力規則設定　2022年から2026年</t>
    <rPh sb="0" eb="2">
      <t>セイレキ</t>
    </rPh>
    <rPh sb="2" eb="4">
      <t>ニュウリョク</t>
    </rPh>
    <rPh sb="4" eb="6">
      <t>キソク</t>
    </rPh>
    <rPh sb="6" eb="8">
      <t>セッテイ</t>
    </rPh>
    <rPh sb="13" eb="14">
      <t>ネン</t>
    </rPh>
    <rPh sb="20" eb="21">
      <t>ネン</t>
    </rPh>
    <phoneticPr fontId="1"/>
  </si>
  <si>
    <t>TDKｴﾚｸﾄﾛﾆｸｽﾌｧｸﾄﾘｰｽﾞ㈱　　　　北上工場</t>
    <rPh sb="24" eb="28">
      <t>キタカミコウジョウ</t>
    </rPh>
    <phoneticPr fontId="1"/>
  </si>
  <si>
    <t>TDKｴﾚｸﾄﾛﾆｸｽﾌｧｸﾄﾘｰｽﾞ㈱　　　本荘工場西ｻｲﾄ</t>
    <rPh sb="24" eb="25">
      <t>　</t>
    </rPh>
    <rPh sb="26" eb="27">
      <t>ニシ</t>
    </rPh>
    <rPh sb="27" eb="30">
      <t>サイト</t>
    </rPh>
    <phoneticPr fontId="1"/>
  </si>
  <si>
    <t>尚、異常状況記号については、「定期検査予定通知・実績表」下段の説明欄をご参照下さい。</t>
    <rPh sb="0" eb="1">
      <t>ナオ</t>
    </rPh>
    <rPh sb="2" eb="4">
      <t>イジョウ</t>
    </rPh>
    <rPh sb="4" eb="6">
      <t>ジョウキョウ</t>
    </rPh>
    <rPh sb="6" eb="8">
      <t>キゴウ</t>
    </rPh>
    <rPh sb="15" eb="17">
      <t>テイキ</t>
    </rPh>
    <rPh sb="17" eb="19">
      <t>ケンサ</t>
    </rPh>
    <rPh sb="19" eb="21">
      <t>ヨテイ</t>
    </rPh>
    <rPh sb="21" eb="23">
      <t>ツウチ</t>
    </rPh>
    <rPh sb="24" eb="26">
      <t>ジッセキ</t>
    </rPh>
    <rPh sb="26" eb="27">
      <t>ヒョウ</t>
    </rPh>
    <rPh sb="28" eb="30">
      <t>カダン</t>
    </rPh>
    <rPh sb="31" eb="33">
      <t>セツメイ</t>
    </rPh>
    <rPh sb="33" eb="34">
      <t>ラン</t>
    </rPh>
    <rPh sb="36" eb="38">
      <t>サンショウ</t>
    </rPh>
    <rPh sb="38" eb="39">
      <t>クダ</t>
    </rPh>
    <phoneticPr fontId="3"/>
  </si>
  <si>
    <t>■ここより下の異常記号分は検査無し（検査対象外計測器）の台数記載です。</t>
    <rPh sb="5" eb="6">
      <t>シタ</t>
    </rPh>
    <rPh sb="7" eb="9">
      <t>イジョウ</t>
    </rPh>
    <rPh sb="9" eb="11">
      <t>キゴウ</t>
    </rPh>
    <rPh sb="11" eb="12">
      <t>ブン</t>
    </rPh>
    <rPh sb="13" eb="15">
      <t>ケンサ</t>
    </rPh>
    <rPh sb="15" eb="16">
      <t>ナ</t>
    </rPh>
    <rPh sb="18" eb="20">
      <t>ケンサ</t>
    </rPh>
    <rPh sb="20" eb="22">
      <t>タイショウ</t>
    </rPh>
    <rPh sb="22" eb="23">
      <t>ガイ</t>
    </rPh>
    <rPh sb="23" eb="26">
      <t>ケイソクキ</t>
    </rPh>
    <rPh sb="28" eb="30">
      <t>ダイスウ</t>
    </rPh>
    <rPh sb="30" eb="32">
      <t>キサイ</t>
    </rPh>
    <phoneticPr fontId="1"/>
  </si>
  <si>
    <t>合否集計</t>
    <rPh sb="0" eb="2">
      <t>ゴウヒ</t>
    </rPh>
    <rPh sb="2" eb="4">
      <t>シュウケイ</t>
    </rPh>
    <phoneticPr fontId="1"/>
  </si>
  <si>
    <t>計器名-台数貼付け部</t>
    <rPh sb="0" eb="1">
      <t>ケイ</t>
    </rPh>
    <rPh sb="1" eb="2">
      <t>キ</t>
    </rPh>
    <rPh sb="2" eb="3">
      <t>メイ</t>
    </rPh>
    <rPh sb="3" eb="6">
      <t>ーダイスウ</t>
    </rPh>
    <rPh sb="6" eb="8">
      <t>ハリツ</t>
    </rPh>
    <rPh sb="9" eb="10">
      <t>ブ</t>
    </rPh>
    <phoneticPr fontId="3"/>
  </si>
  <si>
    <t>■ここでの結果報告書は検査実施した計器のみが対象です。（集計時に不合格以外の異常記号分は除外集計）</t>
    <rPh sb="5" eb="7">
      <t>ケッカ</t>
    </rPh>
    <rPh sb="7" eb="10">
      <t>ホウコクショ</t>
    </rPh>
    <rPh sb="11" eb="13">
      <t>ケンサ</t>
    </rPh>
    <rPh sb="13" eb="15">
      <t>ジッシ</t>
    </rPh>
    <rPh sb="17" eb="19">
      <t>ケイキ</t>
    </rPh>
    <rPh sb="22" eb="24">
      <t>タイショウ</t>
    </rPh>
    <rPh sb="28" eb="30">
      <t>シュウケイ</t>
    </rPh>
    <rPh sb="30" eb="31">
      <t>ジ</t>
    </rPh>
    <rPh sb="32" eb="35">
      <t>フゴウカク</t>
    </rPh>
    <rPh sb="35" eb="37">
      <t>イガイ</t>
    </rPh>
    <rPh sb="38" eb="40">
      <t>イジョウ</t>
    </rPh>
    <rPh sb="40" eb="42">
      <t>キゴウ</t>
    </rPh>
    <rPh sb="42" eb="43">
      <t>ブン</t>
    </rPh>
    <rPh sb="44" eb="46">
      <t>ジョガイ</t>
    </rPh>
    <rPh sb="46" eb="48">
      <t>シュウケイ</t>
    </rPh>
    <phoneticPr fontId="1"/>
  </si>
  <si>
    <t>■項目台数集計の初期化、元に戻す機能（初期化ボタンON/OFF機能）、シート保護、シート保護解除</t>
    <rPh sb="1" eb="5">
      <t>コウモクダイスウ</t>
    </rPh>
    <rPh sb="5" eb="7">
      <t>シュウケイ</t>
    </rPh>
    <rPh sb="8" eb="11">
      <t>ショキカ</t>
    </rPh>
    <rPh sb="12" eb="13">
      <t>モト</t>
    </rPh>
    <rPh sb="14" eb="15">
      <t>モド</t>
    </rPh>
    <rPh sb="16" eb="18">
      <t>キノウ</t>
    </rPh>
    <rPh sb="19" eb="22">
      <t>ショキカ</t>
    </rPh>
    <rPh sb="31" eb="33">
      <t>キノウ</t>
    </rPh>
    <rPh sb="38" eb="40">
      <t>ホゴ</t>
    </rPh>
    <rPh sb="44" eb="46">
      <t>ホゴ</t>
    </rPh>
    <rPh sb="46" eb="48">
      <t>カイジョ</t>
    </rPh>
    <phoneticPr fontId="1"/>
  </si>
  <si>
    <t>ピボット集計</t>
    <rPh sb="4" eb="6">
      <t>シュウケイ</t>
    </rPh>
    <phoneticPr fontId="1"/>
  </si>
  <si>
    <t>自主検査分類</t>
    <rPh sb="0" eb="2">
      <t>ジシュ</t>
    </rPh>
    <rPh sb="2" eb="4">
      <t>ケンサ</t>
    </rPh>
    <rPh sb="4" eb="6">
      <t>ブンルイ</t>
    </rPh>
    <phoneticPr fontId="3"/>
  </si>
  <si>
    <t>水バレル・焼成・湿式バレル・ 素地検査・焼付</t>
    <rPh sb="0" eb="1">
      <t>ミズ</t>
    </rPh>
    <rPh sb="5" eb="7">
      <t>ショウセイ</t>
    </rPh>
    <rPh sb="8" eb="10">
      <t>シッシキ</t>
    </rPh>
    <rPh sb="15" eb="17">
      <t>ソジ</t>
    </rPh>
    <rPh sb="17" eb="19">
      <t>ケンサ</t>
    </rPh>
    <rPh sb="20" eb="22">
      <t>ヤキツケ</t>
    </rPh>
    <phoneticPr fontId="3"/>
  </si>
  <si>
    <t>部門</t>
    <rPh sb="0" eb="2">
      <t>ブモン</t>
    </rPh>
    <phoneticPr fontId="1"/>
  </si>
  <si>
    <t>由利工業(株)1</t>
    <rPh sb="0" eb="2">
      <t>ユリ</t>
    </rPh>
    <rPh sb="2" eb="4">
      <t>コウギョウ</t>
    </rPh>
    <rPh sb="5" eb="6">
      <t>カブ</t>
    </rPh>
    <phoneticPr fontId="3"/>
  </si>
  <si>
    <t>TDKｴﾚｸﾄﾛﾆｸｽﾌｧｸﾄﾘｰｽﾞ㈱　　　　北上工場</t>
    <phoneticPr fontId="1"/>
  </si>
  <si>
    <t>TDKｴﾚｸﾄﾛﾆｸｽﾌｧｸﾄﾘｰｽﾞ㈱　　　本荘工場西ｻｲﾄ</t>
    <phoneticPr fontId="1"/>
  </si>
  <si>
    <t>【保管改ざん禁止処理】</t>
    <rPh sb="1" eb="3">
      <t>ホカン</t>
    </rPh>
    <rPh sb="3" eb="4">
      <t>カイ</t>
    </rPh>
    <rPh sb="6" eb="8">
      <t>キンシ</t>
    </rPh>
    <rPh sb="8" eb="10">
      <t>ショリ</t>
    </rPh>
    <phoneticPr fontId="1"/>
  </si>
  <si>
    <t>【バックアップ（一時退避）】</t>
    <rPh sb="8" eb="10">
      <t>イチジ</t>
    </rPh>
    <rPh sb="10" eb="12">
      <t>タイヒ</t>
    </rPh>
    <phoneticPr fontId="1"/>
  </si>
  <si>
    <t>今回の検査実施結果の詳細は、以下の通りです。</t>
    <rPh sb="0" eb="2">
      <t>コンカイ</t>
    </rPh>
    <rPh sb="3" eb="5">
      <t>ケンサ</t>
    </rPh>
    <rPh sb="5" eb="7">
      <t>ジッシ</t>
    </rPh>
    <rPh sb="7" eb="9">
      <t>ケッカ</t>
    </rPh>
    <rPh sb="10" eb="12">
      <t>ショウサイ</t>
    </rPh>
    <rPh sb="14" eb="16">
      <t>イカ</t>
    </rPh>
    <rPh sb="17" eb="18">
      <t>トオ</t>
    </rPh>
    <phoneticPr fontId="3"/>
  </si>
  <si>
    <t>合格不合格を含む異常記号計器の総台数</t>
    <rPh sb="0" eb="2">
      <t>ゴウカク</t>
    </rPh>
    <rPh sb="2" eb="5">
      <t>フゴウカク</t>
    </rPh>
    <rPh sb="6" eb="7">
      <t>フク</t>
    </rPh>
    <rPh sb="8" eb="10">
      <t>イジョウ</t>
    </rPh>
    <rPh sb="10" eb="14">
      <t>キゴウケイキ</t>
    </rPh>
    <rPh sb="15" eb="18">
      <t>ソウダイスウ</t>
    </rPh>
    <phoneticPr fontId="1"/>
  </si>
  <si>
    <t>①検査実施総台数</t>
    <rPh sb="1" eb="5">
      <t>ケンサジッシ</t>
    </rPh>
    <rPh sb="5" eb="6">
      <t>ソウ</t>
    </rPh>
    <rPh sb="6" eb="8">
      <t>ダイスウ</t>
    </rPh>
    <phoneticPr fontId="3"/>
  </si>
  <si>
    <t>①＋②自動</t>
    <rPh sb="3" eb="5">
      <t>ジドウ</t>
    </rPh>
    <phoneticPr fontId="1"/>
  </si>
  <si>
    <t>■予定通知発行時台数に対しての部門内訳</t>
    <rPh sb="1" eb="5">
      <t>ヨテイツウチ</t>
    </rPh>
    <rPh sb="5" eb="7">
      <t>ハッコウ</t>
    </rPh>
    <rPh sb="7" eb="10">
      <t>ジダイスウ</t>
    </rPh>
    <rPh sb="11" eb="12">
      <t>タイ</t>
    </rPh>
    <rPh sb="15" eb="17">
      <t>ブモン</t>
    </rPh>
    <rPh sb="17" eb="19">
      <t>ウチワケ</t>
    </rPh>
    <phoneticPr fontId="1"/>
  </si>
  <si>
    <t>■実績（自主検査実施分：データ測定実施済の計器）</t>
    <rPh sb="1" eb="3">
      <t>ジッセキ</t>
    </rPh>
    <rPh sb="4" eb="8">
      <t>ジシュケンサ</t>
    </rPh>
    <rPh sb="8" eb="10">
      <t>ジッシ</t>
    </rPh>
    <rPh sb="10" eb="11">
      <t>ブン</t>
    </rPh>
    <rPh sb="15" eb="17">
      <t>ソクテイ</t>
    </rPh>
    <rPh sb="17" eb="19">
      <t>ジッシ</t>
    </rPh>
    <rPh sb="19" eb="20">
      <t>スミ</t>
    </rPh>
    <rPh sb="21" eb="23">
      <t>ケイキ</t>
    </rPh>
    <phoneticPr fontId="1"/>
  </si>
  <si>
    <t>台数入力</t>
    <rPh sb="0" eb="2">
      <t>ダイスウ</t>
    </rPh>
    <rPh sb="2" eb="4">
      <t>ニュウリョク</t>
    </rPh>
    <phoneticPr fontId="1"/>
  </si>
  <si>
    <t>ー</t>
    <phoneticPr fontId="1"/>
  </si>
  <si>
    <t>②異常記号分　小計</t>
    <rPh sb="1" eb="6">
      <t>イジョウキゴウブン</t>
    </rPh>
    <rPh sb="7" eb="8">
      <t>ショウ</t>
    </rPh>
    <rPh sb="8" eb="9">
      <t>ケイ</t>
    </rPh>
    <phoneticPr fontId="1"/>
  </si>
  <si>
    <t>　自動</t>
    <rPh sb="1" eb="3">
      <t>ジドウ</t>
    </rPh>
    <phoneticPr fontId="1"/>
  </si>
  <si>
    <t>③通知発行時総台数</t>
    <rPh sb="1" eb="3">
      <t>ツウチ</t>
    </rPh>
    <rPh sb="3" eb="5">
      <t>ハッコウ</t>
    </rPh>
    <rPh sb="5" eb="6">
      <t>ジ</t>
    </rPh>
    <rPh sb="6" eb="9">
      <t>ソウダイスウ</t>
    </rPh>
    <phoneticPr fontId="1"/>
  </si>
  <si>
    <t>検査対象計器分類</t>
    <rPh sb="0" eb="2">
      <t>ケンサ</t>
    </rPh>
    <rPh sb="2" eb="4">
      <t>タイショウ</t>
    </rPh>
    <rPh sb="4" eb="6">
      <t>ケイキ</t>
    </rPh>
    <rPh sb="6" eb="8">
      <t>ブンルイ</t>
    </rPh>
    <phoneticPr fontId="1"/>
  </si>
  <si>
    <t>雄勝セラミックス(株)</t>
    <rPh sb="0" eb="2">
      <t>オガチ</t>
    </rPh>
    <rPh sb="8" eb="11">
      <t>カブ</t>
    </rPh>
    <phoneticPr fontId="1"/>
  </si>
  <si>
    <t>＊月度</t>
    <rPh sb="1" eb="3">
      <t>ガツド</t>
    </rPh>
    <phoneticPr fontId="1"/>
  </si>
  <si>
    <t>＊月度を選択してください。</t>
    <rPh sb="1" eb="2">
      <t>ツキ</t>
    </rPh>
    <rPh sb="2" eb="3">
      <t>ド</t>
    </rPh>
    <rPh sb="4" eb="6">
      <t>センタク</t>
    </rPh>
    <phoneticPr fontId="1"/>
  </si>
  <si>
    <t>品質保証部ﾏﾈｼﾞﾒﾝﾄ課</t>
    <rPh sb="0" eb="5">
      <t>ヒンシツホショウブ</t>
    </rPh>
    <rPh sb="12" eb="13">
      <t>カ</t>
    </rPh>
    <phoneticPr fontId="1"/>
  </si>
  <si>
    <t>西暦選択、月度選択、検査種毎の報告書表題選択の内、西暦選択を除き</t>
    <rPh sb="0" eb="2">
      <t>セイレキ</t>
    </rPh>
    <rPh sb="2" eb="4">
      <t>センタク</t>
    </rPh>
    <rPh sb="5" eb="7">
      <t>ゲツド</t>
    </rPh>
    <rPh sb="7" eb="9">
      <t>センタク</t>
    </rPh>
    <rPh sb="10" eb="13">
      <t>ケンサシュ</t>
    </rPh>
    <rPh sb="13" eb="14">
      <t>ゴト</t>
    </rPh>
    <rPh sb="15" eb="18">
      <t>ホウコクショ</t>
    </rPh>
    <rPh sb="18" eb="20">
      <t>ヒョウダイ</t>
    </rPh>
    <rPh sb="20" eb="22">
      <t>センタク</t>
    </rPh>
    <rPh sb="23" eb="24">
      <t>ウチ</t>
    </rPh>
    <rPh sb="25" eb="27">
      <t>セイレキ</t>
    </rPh>
    <rPh sb="27" eb="29">
      <t>センタク</t>
    </rPh>
    <rPh sb="30" eb="31">
      <t>ノゾ</t>
    </rPh>
    <phoneticPr fontId="1"/>
  </si>
  <si>
    <t>改善実施</t>
    <rPh sb="0" eb="2">
      <t>カイゼン</t>
    </rPh>
    <rPh sb="2" eb="4">
      <t>ジッシ</t>
    </rPh>
    <phoneticPr fontId="1"/>
  </si>
  <si>
    <r>
      <t>上記表題の</t>
    </r>
    <r>
      <rPr>
        <b/>
        <sz val="11"/>
        <color theme="1"/>
        <rFont val="游ゴシック"/>
        <family val="3"/>
        <charset val="128"/>
        <scheme val="minor"/>
      </rPr>
      <t>月度入力選択のみで、検査種表題を自動選択表示</t>
    </r>
    <r>
      <rPr>
        <sz val="11"/>
        <color theme="1"/>
        <rFont val="游ゴシック"/>
        <family val="2"/>
        <charset val="128"/>
        <scheme val="minor"/>
      </rPr>
      <t>に修正</t>
    </r>
    <rPh sb="0" eb="2">
      <t>ジョウキ</t>
    </rPh>
    <rPh sb="2" eb="4">
      <t>ヒョウダイ</t>
    </rPh>
    <rPh sb="5" eb="7">
      <t>ゲツド</t>
    </rPh>
    <rPh sb="7" eb="9">
      <t>ニュウリョク</t>
    </rPh>
    <rPh sb="9" eb="11">
      <t>センタク</t>
    </rPh>
    <rPh sb="15" eb="17">
      <t>ケンサ</t>
    </rPh>
    <rPh sb="17" eb="18">
      <t>シュ</t>
    </rPh>
    <rPh sb="18" eb="20">
      <t>ヒョウダイ</t>
    </rPh>
    <rPh sb="21" eb="23">
      <t>ジドウ</t>
    </rPh>
    <rPh sb="23" eb="25">
      <t>センタク</t>
    </rPh>
    <rPh sb="25" eb="27">
      <t>ヒョウジ</t>
    </rPh>
    <rPh sb="28" eb="30">
      <t>シュウセイ</t>
    </rPh>
    <phoneticPr fontId="1"/>
  </si>
  <si>
    <r>
      <t>拠点、工程名、部門コードの全て手動選択設定を</t>
    </r>
    <r>
      <rPr>
        <b/>
        <sz val="11"/>
        <color theme="1"/>
        <rFont val="游ゴシック"/>
        <family val="3"/>
        <charset val="128"/>
        <scheme val="minor"/>
      </rPr>
      <t>部門コード選択のみで拠点</t>
    </r>
    <rPh sb="0" eb="2">
      <t>キョテン</t>
    </rPh>
    <rPh sb="3" eb="5">
      <t>コウテイ</t>
    </rPh>
    <rPh sb="5" eb="6">
      <t>メイ</t>
    </rPh>
    <rPh sb="7" eb="9">
      <t>ブモン</t>
    </rPh>
    <rPh sb="13" eb="14">
      <t>スベ</t>
    </rPh>
    <rPh sb="15" eb="17">
      <t>シュドウ</t>
    </rPh>
    <rPh sb="17" eb="19">
      <t>センタク</t>
    </rPh>
    <rPh sb="19" eb="21">
      <t>セッテイ</t>
    </rPh>
    <rPh sb="22" eb="24">
      <t>ブモン</t>
    </rPh>
    <rPh sb="27" eb="29">
      <t>センタク</t>
    </rPh>
    <rPh sb="32" eb="34">
      <t>キョテン</t>
    </rPh>
    <phoneticPr fontId="1"/>
  </si>
  <si>
    <t>工程名を自動選択表示する様に改善。</t>
    <rPh sb="4" eb="6">
      <t>ジドウ</t>
    </rPh>
    <rPh sb="6" eb="8">
      <t>センタク</t>
    </rPh>
    <rPh sb="8" eb="10">
      <t>ヒョウジ</t>
    </rPh>
    <rPh sb="12" eb="13">
      <t>ヨウ</t>
    </rPh>
    <rPh sb="14" eb="16">
      <t>カイゼン</t>
    </rPh>
    <phoneticPr fontId="1"/>
  </si>
  <si>
    <t>C1983F1</t>
  </si>
  <si>
    <t>　　　現在の西暦±5年範囲から選択</t>
    <rPh sb="3" eb="5">
      <t>ゲンザイ</t>
    </rPh>
    <rPh sb="6" eb="8">
      <t>セイレキ</t>
    </rPh>
    <rPh sb="10" eb="11">
      <t>ネン</t>
    </rPh>
    <rPh sb="11" eb="13">
      <t>ハンイ</t>
    </rPh>
    <rPh sb="15" eb="17">
      <t>センタク</t>
    </rPh>
    <phoneticPr fontId="1"/>
  </si>
  <si>
    <t>【長さ計】　1自主検査結果報告書</t>
    <rPh sb="1" eb="2">
      <t>ナガ</t>
    </rPh>
    <rPh sb="3" eb="4">
      <t>ケイ</t>
    </rPh>
    <rPh sb="7" eb="9">
      <t>ジシュ</t>
    </rPh>
    <rPh sb="9" eb="11">
      <t>ケンサ</t>
    </rPh>
    <rPh sb="11" eb="13">
      <t>ケッカ</t>
    </rPh>
    <rPh sb="13" eb="15">
      <t>ホウコク</t>
    </rPh>
    <rPh sb="15" eb="16">
      <t>ショ</t>
    </rPh>
    <phoneticPr fontId="3"/>
  </si>
  <si>
    <t>【重さ計】　2自主検査結果報告書</t>
    <rPh sb="1" eb="2">
      <t>オモ</t>
    </rPh>
    <rPh sb="3" eb="4">
      <t>ケイ</t>
    </rPh>
    <rPh sb="7" eb="9">
      <t>ジシュ</t>
    </rPh>
    <rPh sb="9" eb="11">
      <t>ケンサ</t>
    </rPh>
    <rPh sb="11" eb="13">
      <t>ケッカ</t>
    </rPh>
    <rPh sb="13" eb="15">
      <t>ホウコク</t>
    </rPh>
    <rPh sb="15" eb="16">
      <t>ショ</t>
    </rPh>
    <phoneticPr fontId="3"/>
  </si>
  <si>
    <t>【記録計】　3自主検査結果報告書</t>
    <rPh sb="1" eb="4">
      <t>キロクケイ</t>
    </rPh>
    <rPh sb="7" eb="9">
      <t>ジシュ</t>
    </rPh>
    <rPh sb="9" eb="11">
      <t>ケンサ</t>
    </rPh>
    <rPh sb="11" eb="13">
      <t>ケッカ</t>
    </rPh>
    <rPh sb="13" eb="15">
      <t>ホウコク</t>
    </rPh>
    <rPh sb="15" eb="16">
      <t>ショ</t>
    </rPh>
    <phoneticPr fontId="3"/>
  </si>
  <si>
    <t>2026年</t>
    <phoneticPr fontId="1"/>
  </si>
  <si>
    <t>2025年</t>
    <rPh sb="4" eb="5">
      <t>ネン</t>
    </rPh>
    <phoneticPr fontId="1"/>
  </si>
  <si>
    <t>改善実施</t>
    <rPh sb="0" eb="2">
      <t>カイゼン</t>
    </rPh>
    <rPh sb="2" eb="4">
      <t>ジッシ</t>
    </rPh>
    <phoneticPr fontId="1"/>
  </si>
  <si>
    <t>入力規則の西暦は固定置を設定していました。この為固定置の上限を過ぎた時に</t>
    <rPh sb="0" eb="2">
      <t>ニュウリョク</t>
    </rPh>
    <rPh sb="2" eb="4">
      <t>キソク</t>
    </rPh>
    <rPh sb="5" eb="7">
      <t>セイレキ</t>
    </rPh>
    <rPh sb="8" eb="11">
      <t>コテイチ</t>
    </rPh>
    <rPh sb="12" eb="14">
      <t>セッテイ</t>
    </rPh>
    <rPh sb="23" eb="24">
      <t>タメ</t>
    </rPh>
    <rPh sb="24" eb="27">
      <t>コテイチ</t>
    </rPh>
    <rPh sb="28" eb="30">
      <t>ジョウゲン</t>
    </rPh>
    <rPh sb="31" eb="32">
      <t>ス</t>
    </rPh>
    <rPh sb="34" eb="35">
      <t>トキ</t>
    </rPh>
    <phoneticPr fontId="1"/>
  </si>
  <si>
    <t>手動で固定置を書き換えする方式でした。この作業をなくす検討を行いました。</t>
    <rPh sb="0" eb="2">
      <t>シュドウ</t>
    </rPh>
    <rPh sb="3" eb="6">
      <t>コテイチ</t>
    </rPh>
    <rPh sb="7" eb="8">
      <t>カ</t>
    </rPh>
    <rPh sb="9" eb="10">
      <t>カ</t>
    </rPh>
    <rPh sb="13" eb="15">
      <t>ホウシキ</t>
    </rPh>
    <rPh sb="21" eb="23">
      <t>サギョウ</t>
    </rPh>
    <rPh sb="27" eb="29">
      <t>ケントウ</t>
    </rPh>
    <rPh sb="30" eb="31">
      <t>オコナ</t>
    </rPh>
    <phoneticPr fontId="1"/>
  </si>
  <si>
    <t>改善結果</t>
    <rPh sb="0" eb="2">
      <t>カイゼン</t>
    </rPh>
    <rPh sb="2" eb="4">
      <t>ケッカ</t>
    </rPh>
    <phoneticPr fontId="1"/>
  </si>
  <si>
    <t>選択子は毎年同じスコープ範囲で（現在西暦±5年）で表示されます。</t>
    <rPh sb="0" eb="2">
      <t>センタク</t>
    </rPh>
    <rPh sb="2" eb="3">
      <t>シ</t>
    </rPh>
    <rPh sb="4" eb="6">
      <t>マイトシ</t>
    </rPh>
    <rPh sb="6" eb="7">
      <t>オナ</t>
    </rPh>
    <rPh sb="12" eb="14">
      <t>ハンイ</t>
    </rPh>
    <rPh sb="16" eb="20">
      <t>ゲンザイセイレキ</t>
    </rPh>
    <rPh sb="22" eb="23">
      <t>ネン</t>
    </rPh>
    <rPh sb="25" eb="27">
      <t>ヒョウジ</t>
    </rPh>
    <phoneticPr fontId="1"/>
  </si>
  <si>
    <t>2030年</t>
    <rPh sb="4" eb="5">
      <t>ネン</t>
    </rPh>
    <phoneticPr fontId="1"/>
  </si>
  <si>
    <t>2029年</t>
    <rPh sb="4" eb="5">
      <t>ネン</t>
    </rPh>
    <phoneticPr fontId="1"/>
  </si>
  <si>
    <t>2028年</t>
    <rPh sb="4" eb="5">
      <t>ネン</t>
    </rPh>
    <phoneticPr fontId="1"/>
  </si>
  <si>
    <t>2027年</t>
    <rPh sb="4" eb="5">
      <t>ネン</t>
    </rPh>
    <phoneticPr fontId="1"/>
  </si>
  <si>
    <t>2026年</t>
    <rPh sb="4" eb="5">
      <t>ネン</t>
    </rPh>
    <phoneticPr fontId="1"/>
  </si>
  <si>
    <t>2024年</t>
    <rPh sb="4" eb="5">
      <t>ネン</t>
    </rPh>
    <phoneticPr fontId="1"/>
  </si>
  <si>
    <t>2023年</t>
    <rPh sb="4" eb="5">
      <t>ネン</t>
    </rPh>
    <phoneticPr fontId="1"/>
  </si>
  <si>
    <t>2022年</t>
    <rPh sb="4" eb="5">
      <t>ネン</t>
    </rPh>
    <phoneticPr fontId="1"/>
  </si>
  <si>
    <t>2021年</t>
    <rPh sb="4" eb="5">
      <t>ネン</t>
    </rPh>
    <phoneticPr fontId="1"/>
  </si>
  <si>
    <t>2020年</t>
    <rPh sb="4" eb="5">
      <t>ネン</t>
    </rPh>
    <phoneticPr fontId="1"/>
  </si>
  <si>
    <t>現在が2025年の場合選択できる範囲は下記の分</t>
    <rPh sb="0" eb="2">
      <t>ゲンザイ</t>
    </rPh>
    <rPh sb="7" eb="8">
      <t>ネン</t>
    </rPh>
    <rPh sb="9" eb="11">
      <t>バアイ</t>
    </rPh>
    <rPh sb="11" eb="13">
      <t>センタク</t>
    </rPh>
    <rPh sb="16" eb="18">
      <t>ハンイ</t>
    </rPh>
    <rPh sb="19" eb="21">
      <t>カキ</t>
    </rPh>
    <rPh sb="22" eb="23">
      <t>ブン</t>
    </rPh>
    <phoneticPr fontId="1"/>
  </si>
  <si>
    <t>2031年</t>
    <rPh sb="4" eb="5">
      <t>ネン</t>
    </rPh>
    <phoneticPr fontId="1"/>
  </si>
  <si>
    <t>2032年</t>
    <rPh sb="4" eb="5">
      <t>ネン</t>
    </rPh>
    <phoneticPr fontId="1"/>
  </si>
  <si>
    <t>★今の西暦</t>
    <rPh sb="1" eb="2">
      <t>イマ</t>
    </rPh>
    <rPh sb="3" eb="5">
      <t>セイレキ</t>
    </rPh>
    <phoneticPr fontId="1"/>
  </si>
  <si>
    <t>今現在の選択範囲</t>
    <rPh sb="0" eb="3">
      <t>イマゲンザイ</t>
    </rPh>
    <rPh sb="4" eb="6">
      <t>センタク</t>
    </rPh>
    <rPh sb="6" eb="8">
      <t>ハンイ</t>
    </rPh>
    <phoneticPr fontId="1"/>
  </si>
  <si>
    <t>来年の選択範囲</t>
    <rPh sb="0" eb="2">
      <t>ライネン</t>
    </rPh>
    <rPh sb="3" eb="5">
      <t>センタク</t>
    </rPh>
    <rPh sb="5" eb="7">
      <t>ハンイ</t>
    </rPh>
    <phoneticPr fontId="1"/>
  </si>
  <si>
    <t>再来年の選択範囲</t>
    <rPh sb="0" eb="3">
      <t>サライネン</t>
    </rPh>
    <rPh sb="4" eb="6">
      <t>センタク</t>
    </rPh>
    <rPh sb="6" eb="8">
      <t>ハンイ</t>
    </rPh>
    <phoneticPr fontId="1"/>
  </si>
  <si>
    <t>①パソコンの日付を基準としてその時の西暦を取り込み結果報告書に反映させるように自動化</t>
    <rPh sb="6" eb="8">
      <t>ヒヅケ</t>
    </rPh>
    <rPh sb="9" eb="11">
      <t>キジュン</t>
    </rPh>
    <rPh sb="16" eb="17">
      <t>トキ</t>
    </rPh>
    <rPh sb="18" eb="20">
      <t>セイレキ</t>
    </rPh>
    <rPh sb="21" eb="22">
      <t>ト</t>
    </rPh>
    <rPh sb="23" eb="24">
      <t>コ</t>
    </rPh>
    <rPh sb="25" eb="27">
      <t>ケッカ</t>
    </rPh>
    <rPh sb="27" eb="30">
      <t>ホウコクショ</t>
    </rPh>
    <rPh sb="31" eb="33">
      <t>ハンエイ</t>
    </rPh>
    <rPh sb="39" eb="41">
      <t>ジドウ</t>
    </rPh>
    <rPh sb="41" eb="42">
      <t>カ</t>
    </rPh>
    <phoneticPr fontId="1"/>
  </si>
  <si>
    <t>②結果報告書の表題の西暦も自動入力</t>
    <rPh sb="1" eb="3">
      <t>ケッカ</t>
    </rPh>
    <rPh sb="3" eb="6">
      <t>ホウコクショ</t>
    </rPh>
    <rPh sb="7" eb="9">
      <t>ヒョウダイ</t>
    </rPh>
    <rPh sb="10" eb="12">
      <t>セイレキ</t>
    </rPh>
    <rPh sb="13" eb="15">
      <t>ジドウ</t>
    </rPh>
    <rPh sb="15" eb="17">
      <t>ニュウリョク</t>
    </rPh>
    <phoneticPr fontId="1"/>
  </si>
  <si>
    <t>プリセットで結果報告書を作成するときの西暦年が設定されます。</t>
    <rPh sb="6" eb="8">
      <t>ケッカ</t>
    </rPh>
    <rPh sb="8" eb="11">
      <t>ホウコクショ</t>
    </rPh>
    <rPh sb="12" eb="14">
      <t>サクセイ</t>
    </rPh>
    <rPh sb="19" eb="21">
      <t>セイレキ</t>
    </rPh>
    <rPh sb="21" eb="22">
      <t>ネン</t>
    </rPh>
    <rPh sb="23" eb="25">
      <t>セッテイ</t>
    </rPh>
    <phoneticPr fontId="1"/>
  </si>
  <si>
    <t>設定後でも手動の入力規則も使えるので、手動で書き換えできます。</t>
    <rPh sb="0" eb="2">
      <t>セッテイ</t>
    </rPh>
    <rPh sb="2" eb="3">
      <t>ゴ</t>
    </rPh>
    <rPh sb="5" eb="7">
      <t>シュドウ</t>
    </rPh>
    <rPh sb="8" eb="10">
      <t>ニュウリョク</t>
    </rPh>
    <rPh sb="10" eb="12">
      <t>キソク</t>
    </rPh>
    <rPh sb="13" eb="14">
      <t>ツカ</t>
    </rPh>
    <rPh sb="19" eb="21">
      <t>シュドウ</t>
    </rPh>
    <rPh sb="22" eb="23">
      <t>カ</t>
    </rPh>
    <rPh sb="24" eb="25">
      <t>カ</t>
    </rPh>
    <phoneticPr fontId="1"/>
  </si>
  <si>
    <t>　　西暦部の入力規則にて書き換え可能</t>
    <rPh sb="2" eb="5">
      <t>セイレキブ</t>
    </rPh>
    <rPh sb="6" eb="8">
      <t>ニュウリョク</t>
    </rPh>
    <rPh sb="8" eb="10">
      <t>キソク</t>
    </rPh>
    <rPh sb="12" eb="13">
      <t>カ</t>
    </rPh>
    <rPh sb="14" eb="15">
      <t>カ</t>
    </rPh>
    <rPh sb="16" eb="18">
      <t>カノウ</t>
    </rPh>
    <phoneticPr fontId="1"/>
  </si>
  <si>
    <t>自動西暦設定</t>
    <rPh sb="0" eb="2">
      <t>ジドウ</t>
    </rPh>
    <rPh sb="2" eb="6">
      <t>セイレキセッテイ</t>
    </rPh>
    <phoneticPr fontId="1"/>
  </si>
  <si>
    <t>自動西暦設定</t>
    <rPh sb="0" eb="2">
      <t>ジドウ</t>
    </rPh>
    <rPh sb="2" eb="4">
      <t>セイレキ</t>
    </rPh>
    <rPh sb="4" eb="6">
      <t>セッテイ</t>
    </rPh>
    <phoneticPr fontId="1"/>
  </si>
  <si>
    <t>　手動西暦設定（自動設定分の書き換え変更可能）</t>
    <rPh sb="1" eb="3">
      <t>シュドウ</t>
    </rPh>
    <rPh sb="3" eb="5">
      <t>セイレキ</t>
    </rPh>
    <rPh sb="5" eb="7">
      <t>セッテイ</t>
    </rPh>
    <rPh sb="8" eb="10">
      <t>ジドウ</t>
    </rPh>
    <rPh sb="10" eb="12">
      <t>セッテイ</t>
    </rPh>
    <rPh sb="12" eb="13">
      <t>ブン</t>
    </rPh>
    <rPh sb="14" eb="15">
      <t>カ</t>
    </rPh>
    <rPh sb="16" eb="17">
      <t>カ</t>
    </rPh>
    <rPh sb="18" eb="20">
      <t>ヘンコウ</t>
    </rPh>
    <rPh sb="20" eb="22">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</si>
</sst>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quot;年&quot;m&quot;月&quot;d&quot;日&quot;;@"/>
  </numFmts>
  <fonts count="29">
    <font>
      <sz val="11"/>
      <color theme="1"/>
      <name val="游ゴシック"/>
      <family val="2"/>
      <charset val="128"/>
      <scheme val="minor"/>
    </font>
    <font>
      <sz val="6"/>
      <name val="游ゴシック"/>
      <family val="2"/>
      <charset val="128"/>
      <scheme val="minor"/>
    </font>
    <font>
      <b/>
      <sz val="20"/>
      <name val="ＭＳ Ｐゴシック"/>
      <family val="3"/>
      <charset val="128"/>
    </font>
    <font>
      <sz val="6"/>
      <name val="ＭＳ Ｐゴシック"/>
      <family val="3"/>
      <charset val="128"/>
    </font>
    <font>
      <b/>
      <sz val="14"/>
      <name val="ＭＳ Ｐゴシック"/>
      <family val="3"/>
      <charset val="128"/>
    </font>
    <font>
      <b/>
      <sz val="18"/>
      <name val="ＭＳ Ｐゴシック"/>
      <family val="3"/>
      <charset val="128"/>
    </font>
    <font>
      <b/>
      <sz val="11"/>
      <name val="ＭＳ Ｐゴシック"/>
      <family val="3"/>
      <charset val="128"/>
    </font>
    <font>
      <sz val="10"/>
      <name val="ＭＳ ゴシック"/>
      <family val="3"/>
      <charset val="128"/>
    </font>
    <font>
      <sz val="11"/>
      <name val="ＭＳ Ｐゴシック"/>
      <family val="3"/>
      <charset val="128"/>
    </font>
    <font>
      <sz val="20"/>
      <name val="ＭＳ Ｐゴシック"/>
      <family val="3"/>
      <charset val="128"/>
    </font>
    <font>
      <b/>
      <sz val="16"/>
      <name val="HG明朝B"/>
      <family val="1"/>
      <charset val="128"/>
    </font>
    <font>
      <sz val="10"/>
      <color theme="1"/>
      <name val="游ゴシック"/>
      <family val="2"/>
      <charset val="128"/>
      <scheme val="minor"/>
    </font>
    <font>
      <sz val="9"/>
      <color rgb="FF000000"/>
      <name val="Meiryo UI"/>
      <family val="3"/>
      <charset val="128"/>
    </font>
    <font>
      <sz val="8"/>
      <color theme="1"/>
      <name val="游ゴシック"/>
      <family val="2"/>
      <charset val="128"/>
      <scheme val="minor"/>
    </font>
    <font>
      <sz val="8"/>
      <color theme="1"/>
      <name val="游ゴシック"/>
      <family val="3"/>
      <charset val="128"/>
      <scheme val="minor"/>
    </font>
    <font>
      <b/>
      <sz val="11"/>
      <color theme="1"/>
      <name val="游ゴシック"/>
      <family val="3"/>
      <charset val="128"/>
      <scheme val="minor"/>
    </font>
    <font>
      <b/>
      <sz val="10"/>
      <name val="ＭＳ ゴシック"/>
      <family val="3"/>
      <charset val="128"/>
    </font>
    <font>
      <b/>
      <sz val="8"/>
      <color theme="1"/>
      <name val="游ゴシック"/>
      <family val="3"/>
      <charset val="128"/>
      <scheme val="minor"/>
    </font>
    <font>
      <b/>
      <sz val="9"/>
      <color theme="1"/>
      <name val="游ゴシック"/>
      <family val="3"/>
      <charset val="128"/>
      <scheme val="minor"/>
    </font>
    <font>
      <sz val="9"/>
      <color indexed="81"/>
      <name val="MS P ゴシック"/>
      <family val="3"/>
      <charset val="128"/>
    </font>
    <font>
      <b/>
      <sz val="13"/>
      <name val="HG明朝B"/>
      <family val="1"/>
      <charset val="128"/>
    </font>
    <font>
      <sz val="13"/>
      <color theme="1"/>
      <name val="游ゴシック"/>
      <family val="2"/>
      <charset val="128"/>
      <scheme val="minor"/>
    </font>
    <font>
      <sz val="11"/>
      <color theme="1"/>
      <name val="游ゴシック"/>
      <family val="3"/>
      <charset val="128"/>
      <scheme val="minor"/>
    </font>
    <font>
      <sz val="10"/>
      <color theme="1"/>
      <name val="游ゴシック"/>
      <family val="3"/>
      <charset val="128"/>
      <scheme val="minor"/>
    </font>
    <font>
      <b/>
      <sz val="9"/>
      <color indexed="81"/>
      <name val="MS P ゴシック"/>
      <family val="3"/>
      <charset val="128"/>
    </font>
    <font>
      <sz val="8"/>
      <color theme="0"/>
      <name val="游ゴシック"/>
      <family val="3"/>
      <charset val="128"/>
      <scheme val="minor"/>
    </font>
    <font>
      <sz val="11"/>
      <color theme="0"/>
      <name val="游ゴシック"/>
      <family val="3"/>
      <charset val="128"/>
      <scheme val="minor"/>
    </font>
    <font>
      <sz val="8"/>
      <name val="游ゴシック"/>
      <family val="3"/>
      <charset val="128"/>
      <scheme val="minor"/>
    </font>
    <font>
      <sz val="11"/>
      <name val="游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rgb="FF00FF99"/>
        <bgColor indexed="64"/>
      </patternFill>
    </fill>
    <fill>
      <patternFill patternType="solid">
        <fgColor rgb="FFFFCCCC"/>
        <bgColor indexed="64"/>
      </patternFill>
    </fill>
    <fill>
      <patternFill patternType="solid">
        <fgColor rgb="FF99CCFF"/>
        <bgColor indexed="64"/>
      </patternFill>
    </fill>
    <fill>
      <patternFill patternType="solid">
        <fgColor theme="5" tint="0.59999389629810485"/>
        <bgColor indexed="64"/>
      </patternFill>
    </fill>
    <fill>
      <patternFill patternType="solid">
        <fgColor theme="0"/>
        <bgColor indexed="64"/>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7" fillId="0" borderId="0"/>
  </cellStyleXfs>
  <cellXfs count="113">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2" fillId="0" borderId="0" xfId="0" applyFont="1" applyAlignment="1">
      <alignment horizontal="left" vertical="top"/>
    </xf>
    <xf numFmtId="0" fontId="0" fillId="0" borderId="0" xfId="0" applyAlignment="1"/>
    <xf numFmtId="0" fontId="2" fillId="0" borderId="0" xfId="0" applyFont="1" applyAlignment="1">
      <alignment horizontal="center" vertical="center"/>
    </xf>
    <xf numFmtId="0" fontId="0" fillId="0" borderId="0" xfId="0" applyAlignment="1">
      <alignment horizontal="center" vertical="center"/>
    </xf>
    <xf numFmtId="0" fontId="0" fillId="0" borderId="12" xfId="0" applyBorder="1" applyAlignment="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0" borderId="17" xfId="0" applyBorder="1" applyAlignment="1"/>
    <xf numFmtId="0" fontId="0" fillId="0" borderId="18" xfId="0" applyBorder="1" applyAlignment="1"/>
    <xf numFmtId="0" fontId="0" fillId="0" borderId="19" xfId="0" applyBorder="1" applyAlignment="1"/>
    <xf numFmtId="0" fontId="0" fillId="0" borderId="20" xfId="0" applyBorder="1" applyAlignment="1">
      <alignment horizontal="center" vertical="center"/>
    </xf>
    <xf numFmtId="0" fontId="8" fillId="0" borderId="15" xfId="0" applyFont="1" applyBorder="1" applyAlignment="1"/>
    <xf numFmtId="0" fontId="8" fillId="0" borderId="0" xfId="0" applyFont="1" applyAlignment="1"/>
    <xf numFmtId="0" fontId="5" fillId="0" borderId="0" xfId="0" applyFont="1">
      <alignment vertical="center"/>
    </xf>
    <xf numFmtId="0" fontId="9" fillId="0" borderId="0" xfId="0" applyFont="1" applyAlignment="1">
      <alignment horizontal="center" vertical="center"/>
    </xf>
    <xf numFmtId="0" fontId="0" fillId="0" borderId="0" xfId="0" applyAlignment="1">
      <alignment horizontal="left" vertical="top"/>
    </xf>
    <xf numFmtId="0" fontId="0" fillId="2" borderId="0" xfId="0" applyFill="1">
      <alignment vertical="center"/>
    </xf>
    <xf numFmtId="0" fontId="6" fillId="0" borderId="0" xfId="0" applyFont="1">
      <alignment vertical="center"/>
    </xf>
    <xf numFmtId="0" fontId="0" fillId="0" borderId="20" xfId="0" applyBorder="1">
      <alignment vertical="center"/>
    </xf>
    <xf numFmtId="0" fontId="0" fillId="0" borderId="0" xfId="0" applyAlignment="1">
      <alignment vertical="center" shrinkToFit="1"/>
    </xf>
    <xf numFmtId="0" fontId="0" fillId="0" borderId="18" xfId="0" applyBorder="1">
      <alignment vertical="center"/>
    </xf>
    <xf numFmtId="0" fontId="0" fillId="0" borderId="15" xfId="0" applyBorder="1">
      <alignment vertical="center"/>
    </xf>
    <xf numFmtId="0" fontId="0" fillId="0" borderId="17" xfId="0" applyBorder="1">
      <alignment vertical="center"/>
    </xf>
    <xf numFmtId="0" fontId="0" fillId="0" borderId="19" xfId="0" applyBorder="1">
      <alignment vertical="center"/>
    </xf>
    <xf numFmtId="0" fontId="0" fillId="0" borderId="16" xfId="0" applyBorder="1">
      <alignment vertical="center"/>
    </xf>
    <xf numFmtId="0" fontId="0" fillId="0" borderId="0" xfId="0" applyAlignment="1">
      <alignment horizontal="left" vertical="center"/>
    </xf>
    <xf numFmtId="0" fontId="11" fillId="0" borderId="0" xfId="0" applyFont="1">
      <alignment vertical="center"/>
    </xf>
    <xf numFmtId="56" fontId="0" fillId="0" borderId="0" xfId="0" applyNumberFormat="1">
      <alignment vertical="center"/>
    </xf>
    <xf numFmtId="0" fontId="0" fillId="0" borderId="0" xfId="0" quotePrefix="1">
      <alignment vertical="center"/>
    </xf>
    <xf numFmtId="0" fontId="13" fillId="0" borderId="0" xfId="0" applyFont="1">
      <alignment vertical="center"/>
    </xf>
    <xf numFmtId="0" fontId="16" fillId="0" borderId="21" xfId="1" applyFont="1" applyBorder="1" applyAlignment="1">
      <alignment vertical="center"/>
    </xf>
    <xf numFmtId="0" fontId="0" fillId="0" borderId="25" xfId="0" applyBorder="1">
      <alignment vertical="center"/>
    </xf>
    <xf numFmtId="0" fontId="15" fillId="3" borderId="22" xfId="0" applyFont="1" applyFill="1" applyBorder="1">
      <alignment vertical="center"/>
    </xf>
    <xf numFmtId="0" fontId="0" fillId="3" borderId="23" xfId="0" applyFill="1" applyBorder="1">
      <alignment vertical="center"/>
    </xf>
    <xf numFmtId="0" fontId="15" fillId="4" borderId="22" xfId="0" applyFont="1" applyFill="1" applyBorder="1">
      <alignment vertical="center"/>
    </xf>
    <xf numFmtId="0" fontId="0" fillId="4" borderId="23" xfId="0" applyFill="1" applyBorder="1">
      <alignment vertical="center"/>
    </xf>
    <xf numFmtId="0" fontId="15" fillId="5" borderId="22" xfId="0" applyFont="1" applyFill="1" applyBorder="1">
      <alignment vertical="center"/>
    </xf>
    <xf numFmtId="0" fontId="15" fillId="5" borderId="23" xfId="0" applyFont="1" applyFill="1" applyBorder="1">
      <alignment vertical="center"/>
    </xf>
    <xf numFmtId="0" fontId="17" fillId="0" borderId="0" xfId="0" applyFont="1">
      <alignment vertical="center"/>
    </xf>
    <xf numFmtId="0" fontId="18" fillId="0" borderId="0" xfId="0" applyFont="1">
      <alignment vertical="center"/>
    </xf>
    <xf numFmtId="0" fontId="15" fillId="0" borderId="0" xfId="0" applyFont="1">
      <alignment vertical="center"/>
    </xf>
    <xf numFmtId="0" fontId="0" fillId="0" borderId="13" xfId="0" applyBorder="1">
      <alignment vertical="center"/>
    </xf>
    <xf numFmtId="0" fontId="0" fillId="0" borderId="26" xfId="0" applyBorder="1">
      <alignment vertical="center"/>
    </xf>
    <xf numFmtId="0" fontId="15" fillId="3" borderId="20" xfId="0" applyFont="1" applyFill="1" applyBorder="1">
      <alignment vertical="center"/>
    </xf>
    <xf numFmtId="0" fontId="22" fillId="0" borderId="20" xfId="0" applyFont="1" applyBorder="1">
      <alignment vertical="center"/>
    </xf>
    <xf numFmtId="0" fontId="23" fillId="0" borderId="0" xfId="0" applyFont="1">
      <alignment vertical="center"/>
    </xf>
    <xf numFmtId="0" fontId="23" fillId="0" borderId="0" xfId="0" quotePrefix="1" applyFont="1">
      <alignment vertical="center"/>
    </xf>
    <xf numFmtId="0" fontId="11" fillId="0" borderId="0" xfId="0" applyFont="1" applyAlignment="1">
      <alignment horizontal="right" vertical="center"/>
    </xf>
    <xf numFmtId="0" fontId="15" fillId="4" borderId="20" xfId="0" applyFont="1" applyFill="1" applyBorder="1" applyAlignment="1">
      <alignment horizontal="left" vertical="center"/>
    </xf>
    <xf numFmtId="0" fontId="15" fillId="4" borderId="11" xfId="0" applyFont="1" applyFill="1" applyBorder="1">
      <alignment vertical="center"/>
    </xf>
    <xf numFmtId="0" fontId="22" fillId="0" borderId="0" xfId="0" applyFont="1" applyAlignment="1">
      <alignment horizontal="center" vertical="center"/>
    </xf>
    <xf numFmtId="0" fontId="15" fillId="6" borderId="0" xfId="0" applyFont="1" applyFill="1" applyAlignment="1">
      <alignment horizontal="left" vertical="center"/>
    </xf>
    <xf numFmtId="0" fontId="15" fillId="6" borderId="20" xfId="0" applyFont="1" applyFill="1" applyBorder="1">
      <alignment vertical="center"/>
    </xf>
    <xf numFmtId="0" fontId="15" fillId="5" borderId="23" xfId="0" applyFont="1" applyFill="1" applyBorder="1" applyAlignment="1">
      <alignment horizontal="center" vertical="center"/>
    </xf>
    <xf numFmtId="0" fontId="0" fillId="3" borderId="23" xfId="0" applyFill="1" applyBorder="1" applyAlignment="1">
      <alignment horizontal="center" vertical="center"/>
    </xf>
    <xf numFmtId="0" fontId="0" fillId="4" borderId="23" xfId="0" applyFill="1" applyBorder="1" applyAlignment="1">
      <alignment horizontal="center" vertical="center"/>
    </xf>
    <xf numFmtId="0" fontId="14" fillId="0" borderId="0" xfId="0" applyFont="1">
      <alignment vertical="center"/>
    </xf>
    <xf numFmtId="0" fontId="22" fillId="0" borderId="0" xfId="0" applyFont="1">
      <alignment vertical="center"/>
    </xf>
    <xf numFmtId="0" fontId="22" fillId="0" borderId="0" xfId="0" applyFont="1" applyAlignment="1"/>
    <xf numFmtId="22" fontId="13" fillId="0" borderId="0" xfId="0" applyNumberFormat="1" applyFont="1">
      <alignment vertical="center"/>
    </xf>
    <xf numFmtId="14" fontId="13" fillId="0" borderId="0" xfId="0" applyNumberFormat="1" applyFont="1">
      <alignment vertical="center"/>
    </xf>
    <xf numFmtId="0" fontId="25" fillId="0" borderId="0" xfId="0" applyFont="1" applyAlignment="1">
      <alignment horizontal="center" vertical="center"/>
    </xf>
    <xf numFmtId="0" fontId="25" fillId="0" borderId="0" xfId="0" applyFont="1">
      <alignment vertical="center"/>
    </xf>
    <xf numFmtId="0" fontId="26" fillId="0" borderId="0" xfId="0" applyFont="1" applyAlignment="1">
      <alignment horizontal="center" vertical="center"/>
    </xf>
    <xf numFmtId="0" fontId="26" fillId="0" borderId="0" xfId="0" applyFont="1">
      <alignment vertical="center"/>
    </xf>
    <xf numFmtId="49" fontId="26" fillId="0" borderId="0" xfId="0" applyNumberFormat="1" applyFont="1" applyAlignment="1">
      <alignment horizontal="center" vertical="center"/>
    </xf>
    <xf numFmtId="0" fontId="26" fillId="0" borderId="0" xfId="0" applyFont="1" applyAlignment="1"/>
    <xf numFmtId="0" fontId="27" fillId="0" borderId="0" xfId="0" applyFont="1" applyAlignment="1">
      <alignment horizontal="center" vertical="center"/>
    </xf>
    <xf numFmtId="0" fontId="28" fillId="0" borderId="0" xfId="0" applyFont="1" applyAlignment="1">
      <alignment horizontal="center" vertical="center"/>
    </xf>
    <xf numFmtId="49" fontId="28" fillId="0" borderId="0" xfId="0" applyNumberFormat="1" applyFont="1" applyAlignment="1">
      <alignment horizontal="center" vertical="center"/>
    </xf>
    <xf numFmtId="0" fontId="28" fillId="0" borderId="0" xfId="0" applyFont="1">
      <alignment vertical="center"/>
    </xf>
    <xf numFmtId="0" fontId="27" fillId="0" borderId="0" xfId="0" applyFont="1">
      <alignment vertical="center"/>
    </xf>
    <xf numFmtId="0" fontId="28" fillId="0" borderId="0" xfId="0" applyFont="1" applyAlignment="1"/>
    <xf numFmtId="14" fontId="13" fillId="0" borderId="0" xfId="0" applyNumberFormat="1" applyFont="1" applyAlignment="1">
      <alignment horizontal="center" vertical="center"/>
    </xf>
    <xf numFmtId="0" fontId="0" fillId="0" borderId="9" xfId="0" applyBorder="1">
      <alignment vertical="center"/>
    </xf>
    <xf numFmtId="0" fontId="0" fillId="3" borderId="20" xfId="0" applyFill="1" applyBorder="1" applyAlignment="1">
      <alignment horizontal="center" vertical="center"/>
    </xf>
    <xf numFmtId="0" fontId="0" fillId="7" borderId="20" xfId="0" applyFill="1" applyBorder="1" applyAlignment="1">
      <alignment horizontal="center" vertical="center"/>
    </xf>
    <xf numFmtId="0" fontId="0" fillId="3" borderId="20" xfId="0" applyFill="1" applyBorder="1">
      <alignment vertical="center"/>
    </xf>
    <xf numFmtId="0" fontId="4" fillId="0" borderId="0" xfId="0" applyFont="1" applyAlignment="1">
      <alignment horizontal="center" vertical="center"/>
    </xf>
    <xf numFmtId="0" fontId="5"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8" xfId="0" applyBorder="1" applyAlignment="1">
      <alignment horizontal="center" vertical="center" wrapText="1"/>
    </xf>
    <xf numFmtId="0" fontId="6" fillId="0" borderId="0" xfId="0" applyFont="1">
      <alignment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2" fillId="0" borderId="0" xfId="0" applyFont="1" applyAlignment="1">
      <alignment horizontal="left" vertical="top"/>
    </xf>
    <xf numFmtId="0" fontId="0" fillId="0" borderId="0" xfId="0" applyAlignment="1"/>
    <xf numFmtId="0" fontId="2"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wrapText="1"/>
    </xf>
    <xf numFmtId="0" fontId="0" fillId="0" borderId="0" xfId="0" applyAlignment="1">
      <alignment vertical="center" wrapText="1"/>
    </xf>
    <xf numFmtId="0" fontId="0" fillId="0" borderId="18" xfId="0" applyBorder="1" applyAlignment="1">
      <alignment vertical="center" wrapText="1"/>
    </xf>
    <xf numFmtId="0" fontId="20" fillId="0" borderId="13" xfId="0" applyFont="1" applyBorder="1" applyAlignment="1">
      <alignment horizontal="center" vertical="center"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21" fillId="0" borderId="18" xfId="0" applyFont="1" applyBorder="1" applyAlignment="1">
      <alignment horizontal="center" vertical="center" wrapText="1"/>
    </xf>
    <xf numFmtId="176" fontId="0" fillId="0" borderId="0" xfId="0" applyNumberFormat="1" applyAlignment="1">
      <alignment horizontal="left" vertical="center"/>
    </xf>
    <xf numFmtId="0" fontId="0" fillId="0" borderId="0" xfId="0">
      <alignment vertical="center"/>
    </xf>
  </cellXfs>
  <cellStyles count="2">
    <cellStyle name="標準" xfId="0" builtinId="0"/>
    <cellStyle name="標準 2" xfId="1" xr:uid="{00000000-0005-0000-0000-000001000000}"/>
  </cellStyles>
  <dxfs count="2">
    <dxf>
      <fill>
        <patternFill>
          <bgColor rgb="FFFFFFCC"/>
        </patternFill>
      </fill>
    </dxf>
    <dxf>
      <font>
        <color rgb="FFFFFFCC"/>
      </font>
      <fill>
        <patternFill>
          <bgColor theme="0"/>
        </patternFill>
      </fill>
    </dxf>
  </dxfs>
  <tableStyles count="0" defaultTableStyle="TableStyleMedium2" defaultPivotStyle="PivotStyleLight16"/>
  <colors>
    <mruColors>
      <color rgb="FFFFFFCC"/>
      <color rgb="FF00FF99"/>
      <color rgb="FF99CCFF"/>
      <color rgb="FFFFCCCC"/>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5" Type="http://schemas.openxmlformats.org/officeDocument/2006/relationships/image" Target="../media/image12.png"/><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1114425</xdr:colOff>
          <xdr:row>15</xdr:row>
          <xdr:rowOff>0</xdr:rowOff>
        </xdr:from>
        <xdr:to>
          <xdr:col>41</xdr:col>
          <xdr:colOff>0</xdr:colOff>
          <xdr:row>17</xdr:row>
          <xdr:rowOff>9525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180975</xdr:colOff>
          <xdr:row>14</xdr:row>
          <xdr:rowOff>57150</xdr:rowOff>
        </xdr:from>
        <xdr:to>
          <xdr:col>41</xdr:col>
          <xdr:colOff>104775</xdr:colOff>
          <xdr:row>20</xdr:row>
          <xdr:rowOff>104775</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初期化及びbkup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257175</xdr:colOff>
          <xdr:row>15</xdr:row>
          <xdr:rowOff>47625</xdr:rowOff>
        </xdr:from>
        <xdr:to>
          <xdr:col>38</xdr:col>
          <xdr:colOff>1019175</xdr:colOff>
          <xdr:row>17</xdr:row>
          <xdr:rowOff>76200</xdr:rowOff>
        </xdr:to>
        <xdr:sp macro="" textlink="">
          <xdr:nvSpPr>
            <xdr:cNvPr id="1031" name="CheckBox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1104900</xdr:colOff>
          <xdr:row>18</xdr:row>
          <xdr:rowOff>9525</xdr:rowOff>
        </xdr:from>
        <xdr:to>
          <xdr:col>40</xdr:col>
          <xdr:colOff>1066800</xdr:colOff>
          <xdr:row>19</xdr:row>
          <xdr:rowOff>114300</xdr:rowOff>
        </xdr:to>
        <xdr:sp macro="" textlink="">
          <xdr:nvSpPr>
            <xdr:cNvPr id="1032" name="CommandButton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142875</xdr:colOff>
          <xdr:row>15</xdr:row>
          <xdr:rowOff>38100</xdr:rowOff>
        </xdr:from>
        <xdr:to>
          <xdr:col>42</xdr:col>
          <xdr:colOff>1895475</xdr:colOff>
          <xdr:row>17</xdr:row>
          <xdr:rowOff>9525</xdr:rowOff>
        </xdr:to>
        <xdr:sp macro="" textlink="">
          <xdr:nvSpPr>
            <xdr:cNvPr id="1034" name="Command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123825</xdr:colOff>
          <xdr:row>18</xdr:row>
          <xdr:rowOff>9525</xdr:rowOff>
        </xdr:from>
        <xdr:to>
          <xdr:col>42</xdr:col>
          <xdr:colOff>1895475</xdr:colOff>
          <xdr:row>19</xdr:row>
          <xdr:rowOff>123825</xdr:rowOff>
        </xdr:to>
        <xdr:sp macro="" textlink="">
          <xdr:nvSpPr>
            <xdr:cNvPr id="1035" name="Command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28575</xdr:colOff>
          <xdr:row>0</xdr:row>
          <xdr:rowOff>76200</xdr:rowOff>
        </xdr:from>
        <xdr:to>
          <xdr:col>40</xdr:col>
          <xdr:colOff>171450</xdr:colOff>
          <xdr:row>2</xdr:row>
          <xdr:rowOff>200025</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保護状態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257175</xdr:colOff>
          <xdr:row>1</xdr:row>
          <xdr:rowOff>104775</xdr:rowOff>
        </xdr:from>
        <xdr:to>
          <xdr:col>40</xdr:col>
          <xdr:colOff>0</xdr:colOff>
          <xdr:row>2</xdr:row>
          <xdr:rowOff>180975</xdr:rowOff>
        </xdr:to>
        <xdr:sp macro="" textlink="">
          <xdr:nvSpPr>
            <xdr:cNvPr id="1037" name="Label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438150</xdr:colOff>
          <xdr:row>14</xdr:row>
          <xdr:rowOff>38100</xdr:rowOff>
        </xdr:from>
        <xdr:to>
          <xdr:col>43</xdr:col>
          <xdr:colOff>161925</xdr:colOff>
          <xdr:row>20</xdr:row>
          <xdr:rowOff>104775</xdr:rowOff>
        </xdr:to>
        <xdr:sp macro="" textlink="">
          <xdr:nvSpPr>
            <xdr:cNvPr id="1044" name="Group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データ保護処理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57150</xdr:colOff>
          <xdr:row>3</xdr:row>
          <xdr:rowOff>47625</xdr:rowOff>
        </xdr:from>
        <xdr:to>
          <xdr:col>40</xdr:col>
          <xdr:colOff>9525</xdr:colOff>
          <xdr:row>8</xdr:row>
          <xdr:rowOff>85725</xdr:rowOff>
        </xdr:to>
        <xdr:sp macro="" textlink="">
          <xdr:nvSpPr>
            <xdr:cNvPr id="1046" name="Group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年月日選択</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466725</xdr:colOff>
          <xdr:row>3</xdr:row>
          <xdr:rowOff>200025</xdr:rowOff>
        </xdr:from>
        <xdr:to>
          <xdr:col>39</xdr:col>
          <xdr:colOff>276225</xdr:colOff>
          <xdr:row>5</xdr:row>
          <xdr:rowOff>0</xdr:rowOff>
        </xdr:to>
        <xdr:sp macro="" textlink="">
          <xdr:nvSpPr>
            <xdr:cNvPr id="1048" name="CommandButton5"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44450</xdr:colOff>
      <xdr:row>17</xdr:row>
      <xdr:rowOff>88900</xdr:rowOff>
    </xdr:from>
    <xdr:to>
      <xdr:col>8</xdr:col>
      <xdr:colOff>546098</xdr:colOff>
      <xdr:row>18</xdr:row>
      <xdr:rowOff>146050</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038350" y="4432300"/>
          <a:ext cx="3921123" cy="285750"/>
        </a:xfrm>
        <a:prstGeom prst="rect">
          <a:avLst/>
        </a:prstGeom>
        <a:ln>
          <a:solidFill>
            <a:schemeClr val="tx1"/>
          </a:solidFill>
        </a:ln>
      </xdr:spPr>
    </xdr:pic>
    <xdr:clientData/>
  </xdr:twoCellAnchor>
  <xdr:twoCellAnchor editAs="oneCell">
    <xdr:from>
      <xdr:col>3</xdr:col>
      <xdr:colOff>19050</xdr:colOff>
      <xdr:row>9</xdr:row>
      <xdr:rowOff>63500</xdr:rowOff>
    </xdr:from>
    <xdr:to>
      <xdr:col>7</xdr:col>
      <xdr:colOff>358271</xdr:colOff>
      <xdr:row>14</xdr:row>
      <xdr:rowOff>184150</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012950" y="2578100"/>
          <a:ext cx="3123696" cy="1263650"/>
        </a:xfrm>
        <a:prstGeom prst="rect">
          <a:avLst/>
        </a:prstGeom>
        <a:ln>
          <a:solidFill>
            <a:schemeClr val="tx1"/>
          </a:solidFill>
        </a:ln>
      </xdr:spPr>
    </xdr:pic>
    <xdr:clientData/>
  </xdr:twoCellAnchor>
  <xdr:twoCellAnchor>
    <xdr:from>
      <xdr:col>3</xdr:col>
      <xdr:colOff>285750</xdr:colOff>
      <xdr:row>38</xdr:row>
      <xdr:rowOff>95250</xdr:rowOff>
    </xdr:from>
    <xdr:to>
      <xdr:col>17</xdr:col>
      <xdr:colOff>466725</xdr:colOff>
      <xdr:row>58</xdr:row>
      <xdr:rowOff>120877</xdr:rowOff>
    </xdr:to>
    <xdr:grpSp>
      <xdr:nvGrpSpPr>
        <xdr:cNvPr id="16" name="グループ化 15">
          <a:extLst>
            <a:ext uri="{FF2B5EF4-FFF2-40B4-BE49-F238E27FC236}">
              <a16:creationId xmlns:a16="http://schemas.microsoft.com/office/drawing/2014/main" id="{F59C549C-DFAB-7765-E662-A00581AC3975}"/>
            </a:ext>
          </a:extLst>
        </xdr:cNvPr>
        <xdr:cNvGrpSpPr/>
      </xdr:nvGrpSpPr>
      <xdr:grpSpPr>
        <a:xfrm>
          <a:off x="2362200" y="9144000"/>
          <a:ext cx="9991725" cy="4788127"/>
          <a:chOff x="2362200" y="9144000"/>
          <a:chExt cx="9991725" cy="4788127"/>
        </a:xfrm>
      </xdr:grpSpPr>
      <xdr:grpSp>
        <xdr:nvGrpSpPr>
          <xdr:cNvPr id="11" name="グループ化 10">
            <a:extLst>
              <a:ext uri="{FF2B5EF4-FFF2-40B4-BE49-F238E27FC236}">
                <a16:creationId xmlns:a16="http://schemas.microsoft.com/office/drawing/2014/main" id="{5094C4AE-3C7E-AD66-EEBD-A2A253B794E8}"/>
              </a:ext>
            </a:extLst>
          </xdr:cNvPr>
          <xdr:cNvGrpSpPr/>
        </xdr:nvGrpSpPr>
        <xdr:grpSpPr>
          <a:xfrm>
            <a:off x="2362200" y="9144000"/>
            <a:ext cx="9991725" cy="3572374"/>
            <a:chOff x="2362200" y="9144000"/>
            <a:chExt cx="9991725" cy="3572374"/>
          </a:xfrm>
        </xdr:grpSpPr>
        <xdr:grpSp>
          <xdr:nvGrpSpPr>
            <xdr:cNvPr id="6" name="グループ化 5">
              <a:extLst>
                <a:ext uri="{FF2B5EF4-FFF2-40B4-BE49-F238E27FC236}">
                  <a16:creationId xmlns:a16="http://schemas.microsoft.com/office/drawing/2014/main" id="{1AF52908-9169-76AE-ECDF-8E758DCA64C5}"/>
                </a:ext>
              </a:extLst>
            </xdr:cNvPr>
            <xdr:cNvGrpSpPr/>
          </xdr:nvGrpSpPr>
          <xdr:grpSpPr>
            <a:xfrm>
              <a:off x="7886700" y="10648950"/>
              <a:ext cx="4467225" cy="285750"/>
              <a:chOff x="2905125" y="9258300"/>
              <a:chExt cx="4467225" cy="285750"/>
            </a:xfrm>
          </xdr:grpSpPr>
          <xdr:pic>
            <xdr:nvPicPr>
              <xdr:cNvPr id="4" name="図 3">
                <a:extLst>
                  <a:ext uri="{FF2B5EF4-FFF2-40B4-BE49-F238E27FC236}">
                    <a16:creationId xmlns:a16="http://schemas.microsoft.com/office/drawing/2014/main" id="{31CBCA2F-992A-8573-F093-E91A4D6B8537}"/>
                  </a:ext>
                </a:extLst>
              </xdr:cNvPr>
              <xdr:cNvPicPr>
                <a:picLocks noChangeAspect="1"/>
              </xdr:cNvPicPr>
            </xdr:nvPicPr>
            <xdr:blipFill>
              <a:blip xmlns:r="http://schemas.openxmlformats.org/officeDocument/2006/relationships" r:embed="rId3"/>
              <a:stretch>
                <a:fillRect/>
              </a:stretch>
            </xdr:blipFill>
            <xdr:spPr>
              <a:xfrm>
                <a:off x="2905125" y="9286875"/>
                <a:ext cx="4467225" cy="227234"/>
              </a:xfrm>
              <a:prstGeom prst="rect">
                <a:avLst/>
              </a:prstGeom>
              <a:ln>
                <a:solidFill>
                  <a:schemeClr val="tx1"/>
                </a:solidFill>
              </a:ln>
            </xdr:spPr>
          </xdr:pic>
          <xdr:sp macro="" textlink="">
            <xdr:nvSpPr>
              <xdr:cNvPr id="5" name="正方形/長方形 4">
                <a:extLst>
                  <a:ext uri="{FF2B5EF4-FFF2-40B4-BE49-F238E27FC236}">
                    <a16:creationId xmlns:a16="http://schemas.microsoft.com/office/drawing/2014/main" id="{050ECE96-05B1-A7A2-3C3A-7502A8C0ADC3}"/>
                  </a:ext>
                </a:extLst>
              </xdr:cNvPr>
              <xdr:cNvSpPr/>
            </xdr:nvSpPr>
            <xdr:spPr>
              <a:xfrm>
                <a:off x="2924175" y="9258300"/>
                <a:ext cx="685800" cy="2857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pic>
          <xdr:nvPicPr>
            <xdr:cNvPr id="7" name="図 6">
              <a:extLst>
                <a:ext uri="{FF2B5EF4-FFF2-40B4-BE49-F238E27FC236}">
                  <a16:creationId xmlns:a16="http://schemas.microsoft.com/office/drawing/2014/main" id="{E3CF1531-C49F-26D5-B72F-20E5E5D6D472}"/>
                </a:ext>
              </a:extLst>
            </xdr:cNvPr>
            <xdr:cNvPicPr>
              <a:picLocks noChangeAspect="1"/>
            </xdr:cNvPicPr>
          </xdr:nvPicPr>
          <xdr:blipFill>
            <a:blip xmlns:r="http://schemas.openxmlformats.org/officeDocument/2006/relationships" r:embed="rId4"/>
            <a:stretch>
              <a:fillRect/>
            </a:stretch>
          </xdr:blipFill>
          <xdr:spPr>
            <a:xfrm>
              <a:off x="2362200" y="9144000"/>
              <a:ext cx="4601217" cy="3572374"/>
            </a:xfrm>
            <a:prstGeom prst="rect">
              <a:avLst/>
            </a:prstGeom>
          </xdr:spPr>
        </xdr:pic>
        <xdr:sp macro="" textlink="">
          <xdr:nvSpPr>
            <xdr:cNvPr id="8" name="矢印: 右 7">
              <a:extLst>
                <a:ext uri="{FF2B5EF4-FFF2-40B4-BE49-F238E27FC236}">
                  <a16:creationId xmlns:a16="http://schemas.microsoft.com/office/drawing/2014/main" id="{9EF6D124-038C-6D73-70B3-D8E9031D542A}"/>
                </a:ext>
              </a:extLst>
            </xdr:cNvPr>
            <xdr:cNvSpPr/>
          </xdr:nvSpPr>
          <xdr:spPr>
            <a:xfrm rot="1591877">
              <a:off x="6661120" y="10194271"/>
              <a:ext cx="1294918" cy="269162"/>
            </a:xfrm>
            <a:prstGeom prst="rightArrow">
              <a:avLst>
                <a:gd name="adj1" fmla="val 50000"/>
                <a:gd name="adj2" fmla="val 80965"/>
              </a:avLst>
            </a:prstGeom>
            <a:solidFill>
              <a:srgbClr val="FFFF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矢印: 右 9">
              <a:extLst>
                <a:ext uri="{FF2B5EF4-FFF2-40B4-BE49-F238E27FC236}">
                  <a16:creationId xmlns:a16="http://schemas.microsoft.com/office/drawing/2014/main" id="{AC68E649-5C64-4C1C-87EC-09FE16E0E104}"/>
                </a:ext>
              </a:extLst>
            </xdr:cNvPr>
            <xdr:cNvSpPr/>
          </xdr:nvSpPr>
          <xdr:spPr>
            <a:xfrm rot="21302915">
              <a:off x="3557292" y="10848439"/>
              <a:ext cx="4298996" cy="269162"/>
            </a:xfrm>
            <a:prstGeom prst="rightArrow">
              <a:avLst>
                <a:gd name="adj1" fmla="val 50000"/>
                <a:gd name="adj2" fmla="val 80965"/>
              </a:avLst>
            </a:prstGeom>
            <a:solidFill>
              <a:srgbClr val="FFFF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pic>
        <xdr:nvPicPr>
          <xdr:cNvPr id="12" name="図 11">
            <a:extLst>
              <a:ext uri="{FF2B5EF4-FFF2-40B4-BE49-F238E27FC236}">
                <a16:creationId xmlns:a16="http://schemas.microsoft.com/office/drawing/2014/main" id="{11648A9C-FA60-A5C6-3E83-491A078C59A9}"/>
              </a:ext>
            </a:extLst>
          </xdr:cNvPr>
          <xdr:cNvPicPr>
            <a:picLocks noChangeAspect="1"/>
          </xdr:cNvPicPr>
        </xdr:nvPicPr>
        <xdr:blipFill>
          <a:blip xmlns:r="http://schemas.openxmlformats.org/officeDocument/2006/relationships" r:embed="rId5"/>
          <a:stretch>
            <a:fillRect/>
          </a:stretch>
        </xdr:blipFill>
        <xdr:spPr>
          <a:xfrm>
            <a:off x="7858127" y="12353927"/>
            <a:ext cx="2619374" cy="1578200"/>
          </a:xfrm>
          <a:prstGeom prst="rect">
            <a:avLst/>
          </a:prstGeom>
          <a:ln>
            <a:solidFill>
              <a:schemeClr val="tx1"/>
            </a:solidFill>
          </a:ln>
        </xdr:spPr>
      </xdr:pic>
      <xdr:sp macro="" textlink="">
        <xdr:nvSpPr>
          <xdr:cNvPr id="14" name="矢印: 右 13">
            <a:extLst>
              <a:ext uri="{FF2B5EF4-FFF2-40B4-BE49-F238E27FC236}">
                <a16:creationId xmlns:a16="http://schemas.microsoft.com/office/drawing/2014/main" id="{28790F54-995D-4417-8D02-E0C1505D9DA3}"/>
              </a:ext>
            </a:extLst>
          </xdr:cNvPr>
          <xdr:cNvSpPr/>
        </xdr:nvSpPr>
        <xdr:spPr>
          <a:xfrm rot="15238097">
            <a:off x="7639754" y="11607702"/>
            <a:ext cx="1698271" cy="280622"/>
          </a:xfrm>
          <a:prstGeom prst="rightArrow">
            <a:avLst>
              <a:gd name="adj1" fmla="val 50000"/>
              <a:gd name="adj2" fmla="val 80965"/>
            </a:avLst>
          </a:prstGeom>
          <a:solidFill>
            <a:srgbClr val="FFFF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E28C6392-3305-1100-6363-18693C26DB15}"/>
              </a:ext>
            </a:extLst>
          </xdr:cNvPr>
          <xdr:cNvSpPr txBox="1"/>
        </xdr:nvSpPr>
        <xdr:spPr>
          <a:xfrm>
            <a:off x="7896225" y="12372975"/>
            <a:ext cx="809625" cy="1485900"/>
          </a:xfrm>
          <a:prstGeom prst="rect">
            <a:avLst/>
          </a:prstGeom>
          <a:noFill/>
          <a:ln w="349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ctrlProp" Target="../ctrlProps/ctrlProp4.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A64"/>
  <sheetViews>
    <sheetView tabSelected="1" zoomScale="85" zoomScaleNormal="85" workbookViewId="0">
      <selection activeCell="AW27" sqref="AW27"/>
    </sheetView>
  </sheetViews>
  <sheetFormatPr defaultRowHeight="18.75"/>
  <cols>
    <col min="1" max="37" width="2.375" customWidth="1"/>
    <col min="38" max="38" width="8.625" customWidth="1"/>
    <col min="39" max="39" width="16.375" customWidth="1"/>
    <col min="40" max="40" width="8.625" customWidth="1"/>
    <col min="41" max="41" width="14.125" customWidth="1"/>
    <col min="42" max="42" width="9.375" customWidth="1"/>
    <col min="43" max="43" width="26.625" customWidth="1"/>
    <col min="44" max="44" width="8.125" style="12" customWidth="1"/>
    <col min="45" max="45" width="15.625" style="74" bestFit="1" customWidth="1"/>
    <col min="46" max="46" width="16" style="75" customWidth="1"/>
    <col min="47" max="47" width="9.625" style="75" customWidth="1"/>
    <col min="48" max="48" width="40" style="75" customWidth="1"/>
    <col min="49" max="49" width="42.375" style="75" customWidth="1"/>
    <col min="50" max="50" width="8.625" style="75"/>
    <col min="51" max="51" width="8.625" style="81"/>
    <col min="52" max="52" width="30.125" style="81" bestFit="1" customWidth="1"/>
    <col min="53" max="53" width="8.625" style="68"/>
  </cols>
  <sheetData>
    <row r="1" spans="2:53" s="40" customFormat="1" ht="13.5" customHeight="1" thickBot="1">
      <c r="Z1" s="71"/>
      <c r="AB1" s="70"/>
      <c r="AR1" s="84">
        <f ca="1">TODAY()</f>
        <v>46087</v>
      </c>
      <c r="AS1" s="72"/>
      <c r="AT1" s="72" t="s">
        <v>8</v>
      </c>
      <c r="AU1" s="72" t="s">
        <v>9</v>
      </c>
      <c r="AV1" s="72" t="s">
        <v>10</v>
      </c>
      <c r="AW1" s="73" t="s">
        <v>86</v>
      </c>
      <c r="AX1" s="73"/>
      <c r="AY1" s="78"/>
      <c r="AZ1" s="82"/>
      <c r="BA1" s="67"/>
    </row>
    <row r="2" spans="2:53" ht="12.95" customHeight="1">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3"/>
      <c r="AQ2" s="21" t="s">
        <v>11</v>
      </c>
      <c r="AR2" s="21" t="s">
        <v>12</v>
      </c>
      <c r="AS2" s="74" t="s">
        <v>13</v>
      </c>
      <c r="AY2" s="79" t="s">
        <v>13</v>
      </c>
      <c r="AZ2" s="79" t="s">
        <v>103</v>
      </c>
    </row>
    <row r="3" spans="2:53" ht="24">
      <c r="B3" s="4"/>
      <c r="E3" s="100" t="s">
        <v>118</v>
      </c>
      <c r="F3" s="101"/>
      <c r="G3" s="101"/>
      <c r="H3" s="101"/>
      <c r="I3" s="101"/>
      <c r="J3" s="102" t="s">
        <v>20</v>
      </c>
      <c r="K3" s="103"/>
      <c r="L3" s="103"/>
      <c r="M3" s="103"/>
      <c r="N3" s="103"/>
      <c r="O3" s="102" t="str">
        <f>AZ10</f>
        <v>【長さ計】　自主検査結果報告書</v>
      </c>
      <c r="P3" s="103"/>
      <c r="Q3" s="103"/>
      <c r="R3" s="103"/>
      <c r="S3" s="103"/>
      <c r="T3" s="103"/>
      <c r="U3" s="103"/>
      <c r="V3" s="103"/>
      <c r="W3" s="103"/>
      <c r="X3" s="103"/>
      <c r="Y3" s="103"/>
      <c r="Z3" s="103"/>
      <c r="AA3" s="103"/>
      <c r="AB3" s="103"/>
      <c r="AC3" s="103"/>
      <c r="AD3" s="103"/>
      <c r="AE3" s="103"/>
      <c r="AF3" s="103"/>
      <c r="AG3" s="103"/>
      <c r="AH3" s="103"/>
      <c r="AJ3" s="5"/>
      <c r="AQ3" s="85"/>
      <c r="AR3" s="21"/>
      <c r="AT3" s="75" t="s">
        <v>14</v>
      </c>
      <c r="AU3" s="75" t="s">
        <v>15</v>
      </c>
      <c r="AW3" s="75" t="s">
        <v>87</v>
      </c>
      <c r="AY3" s="79" t="s">
        <v>105</v>
      </c>
      <c r="AZ3" s="81" t="s">
        <v>106</v>
      </c>
    </row>
    <row r="4" spans="2:53" ht="23.45" customHeight="1">
      <c r="B4" s="4"/>
      <c r="AJ4" s="5"/>
      <c r="AQ4" s="85" t="s">
        <v>115</v>
      </c>
      <c r="AR4" s="21" t="str">
        <f ca="1">(YEAR(AR1)+5)&amp;"年"</f>
        <v>2031年</v>
      </c>
      <c r="AS4" s="76" t="s">
        <v>20</v>
      </c>
      <c r="AT4" s="75" t="s">
        <v>75</v>
      </c>
      <c r="AU4" s="75" t="s">
        <v>22</v>
      </c>
      <c r="AW4" s="75" t="s">
        <v>88</v>
      </c>
      <c r="AY4" s="80" t="s">
        <v>20</v>
      </c>
      <c r="AZ4" s="81" t="s">
        <v>16</v>
      </c>
    </row>
    <row r="5" spans="2:53" ht="12.95" customHeight="1">
      <c r="B5" s="4"/>
      <c r="J5" s="104" t="str">
        <f ca="1">AT18</f>
        <v>雄勝セラミックス(株)</v>
      </c>
      <c r="K5" s="105"/>
      <c r="L5" s="105"/>
      <c r="M5" s="105"/>
      <c r="N5" s="105"/>
      <c r="O5" s="105"/>
      <c r="P5" s="105"/>
      <c r="Q5" s="105"/>
      <c r="R5" s="105"/>
      <c r="S5" s="105"/>
      <c r="T5" s="105"/>
      <c r="U5" s="105"/>
      <c r="V5" s="105"/>
      <c r="W5" s="105"/>
      <c r="X5" s="105"/>
      <c r="AJ5" s="5"/>
      <c r="AQ5" s="85" t="s">
        <v>116</v>
      </c>
      <c r="AR5" s="21" t="str">
        <f ca="1">(YEAR(AR1)+4)&amp;"年"</f>
        <v>2030年</v>
      </c>
      <c r="AS5" s="76" t="s">
        <v>0</v>
      </c>
      <c r="AT5" s="75" t="s">
        <v>21</v>
      </c>
      <c r="AU5" s="75" t="s">
        <v>18</v>
      </c>
      <c r="AW5" s="75" t="s">
        <v>88</v>
      </c>
      <c r="AY5" s="80" t="s">
        <v>0</v>
      </c>
      <c r="AZ5" s="81" t="s">
        <v>1</v>
      </c>
    </row>
    <row r="6" spans="2:53" ht="12.95" customHeight="1">
      <c r="B6" s="4"/>
      <c r="J6" s="105"/>
      <c r="K6" s="105"/>
      <c r="L6" s="105"/>
      <c r="M6" s="105"/>
      <c r="N6" s="105"/>
      <c r="O6" s="105"/>
      <c r="P6" s="105"/>
      <c r="Q6" s="105"/>
      <c r="R6" s="105"/>
      <c r="S6" s="105"/>
      <c r="T6" s="105"/>
      <c r="U6" s="105"/>
      <c r="V6" s="105"/>
      <c r="W6" s="105"/>
      <c r="X6" s="105"/>
      <c r="AA6" s="111">
        <v>46087</v>
      </c>
      <c r="AB6" s="112"/>
      <c r="AC6" s="112"/>
      <c r="AD6" s="112"/>
      <c r="AE6" s="112"/>
      <c r="AF6" s="112"/>
      <c r="AG6" s="112"/>
      <c r="AH6" s="112"/>
      <c r="AI6" s="112"/>
      <c r="AJ6" s="5"/>
      <c r="AQ6" s="85" t="s">
        <v>117</v>
      </c>
      <c r="AR6" s="21" t="str">
        <f ca="1">(YEAR(AR1)+3)&amp;"年"</f>
        <v>2029年</v>
      </c>
      <c r="AS6" s="76" t="s">
        <v>23</v>
      </c>
      <c r="AT6" s="75" t="s">
        <v>76</v>
      </c>
      <c r="AU6" s="75" t="s">
        <v>25</v>
      </c>
      <c r="AV6" s="75" t="s">
        <v>26</v>
      </c>
      <c r="AW6" s="75" t="s">
        <v>89</v>
      </c>
      <c r="AY6" s="80" t="s">
        <v>23</v>
      </c>
      <c r="AZ6" s="81" t="s">
        <v>19</v>
      </c>
    </row>
    <row r="7" spans="2:53" ht="12.95" customHeight="1">
      <c r="B7" s="4"/>
      <c r="E7" s="89" t="s">
        <v>4</v>
      </c>
      <c r="F7" s="89"/>
      <c r="G7" s="89"/>
      <c r="H7" s="89"/>
      <c r="I7" s="89"/>
      <c r="J7" s="106"/>
      <c r="K7" s="106"/>
      <c r="L7" s="106"/>
      <c r="M7" s="106"/>
      <c r="N7" s="106"/>
      <c r="O7" s="106"/>
      <c r="P7" s="106"/>
      <c r="Q7" s="106"/>
      <c r="R7" s="106"/>
      <c r="S7" s="106"/>
      <c r="T7" s="106"/>
      <c r="U7" s="106"/>
      <c r="V7" s="106"/>
      <c r="W7" s="106"/>
      <c r="X7" s="106"/>
      <c r="AA7" t="s">
        <v>69</v>
      </c>
      <c r="AJ7" s="5"/>
      <c r="AL7" s="51" t="s">
        <v>114</v>
      </c>
      <c r="AR7" s="21" t="str">
        <f ca="1">(YEAR(AR1)+2)&amp;"年"</f>
        <v>2028年</v>
      </c>
      <c r="AS7" s="76" t="s">
        <v>27</v>
      </c>
      <c r="AU7" s="75" t="s">
        <v>28</v>
      </c>
      <c r="AV7" s="75" t="s">
        <v>29</v>
      </c>
      <c r="AW7" s="75" t="s">
        <v>89</v>
      </c>
      <c r="AY7" s="80" t="s">
        <v>27</v>
      </c>
      <c r="AZ7" s="81" t="s">
        <v>16</v>
      </c>
    </row>
    <row r="8" spans="2:53" ht="12.95" customHeight="1">
      <c r="B8" s="4"/>
      <c r="E8" s="89"/>
      <c r="F8" s="89"/>
      <c r="G8" s="89"/>
      <c r="H8" s="89"/>
      <c r="I8" s="89"/>
      <c r="J8" s="107" t="str">
        <f>IF(AT17=0,"",AT17)</f>
        <v/>
      </c>
      <c r="K8" s="108"/>
      <c r="L8" s="108"/>
      <c r="M8" s="108"/>
      <c r="N8" s="108"/>
      <c r="O8" s="108"/>
      <c r="P8" s="108"/>
      <c r="Q8" s="108"/>
      <c r="R8" s="108"/>
      <c r="S8" s="108"/>
      <c r="T8" s="108"/>
      <c r="U8" s="108"/>
      <c r="V8" s="108"/>
      <c r="W8" s="108"/>
      <c r="X8" s="108"/>
      <c r="AA8" t="s">
        <v>70</v>
      </c>
      <c r="AC8" s="10"/>
      <c r="AJ8" s="5"/>
      <c r="AR8" s="21" t="str">
        <f ca="1">(YEAR(AR1)+1)&amp;"年"</f>
        <v>2027年</v>
      </c>
      <c r="AS8" s="76" t="s">
        <v>30</v>
      </c>
      <c r="AU8" s="75" t="s">
        <v>31</v>
      </c>
      <c r="AV8" s="75" t="s">
        <v>32</v>
      </c>
      <c r="AW8" s="75" t="s">
        <v>89</v>
      </c>
      <c r="AY8" s="80" t="s">
        <v>30</v>
      </c>
      <c r="AZ8" s="81" t="s">
        <v>19</v>
      </c>
    </row>
    <row r="9" spans="2:53" ht="12.95" customHeight="1">
      <c r="B9" s="4"/>
      <c r="J9" s="109"/>
      <c r="K9" s="109"/>
      <c r="L9" s="109"/>
      <c r="M9" s="109"/>
      <c r="N9" s="109"/>
      <c r="O9" s="109"/>
      <c r="P9" s="109"/>
      <c r="Q9" s="109"/>
      <c r="R9" s="109"/>
      <c r="S9" s="109"/>
      <c r="T9" s="109"/>
      <c r="U9" s="109"/>
      <c r="V9" s="109"/>
      <c r="W9" s="109"/>
      <c r="X9" s="109"/>
      <c r="AA9" t="s">
        <v>107</v>
      </c>
      <c r="AC9" s="10"/>
      <c r="AJ9" s="5"/>
      <c r="AR9" s="21" t="str">
        <f ca="1">(YEAR(AR1))&amp;"年"</f>
        <v>2026年</v>
      </c>
      <c r="AU9" s="75" t="s">
        <v>33</v>
      </c>
      <c r="AV9" s="75" t="s">
        <v>34</v>
      </c>
      <c r="AW9" s="75" t="s">
        <v>89</v>
      </c>
    </row>
    <row r="10" spans="2:53" ht="12.95" customHeight="1">
      <c r="B10" s="4"/>
      <c r="J10" s="110"/>
      <c r="K10" s="110"/>
      <c r="L10" s="110"/>
      <c r="M10" s="110"/>
      <c r="N10" s="110"/>
      <c r="O10" s="110"/>
      <c r="P10" s="110"/>
      <c r="Q10" s="110"/>
      <c r="R10" s="110"/>
      <c r="S10" s="110"/>
      <c r="T10" s="110"/>
      <c r="U10" s="110"/>
      <c r="V10" s="110"/>
      <c r="W10" s="110"/>
      <c r="X10" s="110"/>
      <c r="AJ10" s="5"/>
      <c r="AR10" s="21" t="str">
        <f ca="1">(YEAR(AR1)-1)&amp;"年"</f>
        <v>2025年</v>
      </c>
      <c r="AU10" s="75" t="s">
        <v>35</v>
      </c>
      <c r="AV10" s="75" t="s">
        <v>85</v>
      </c>
      <c r="AW10" s="75" t="s">
        <v>89</v>
      </c>
      <c r="AY10" s="81" t="str">
        <f>J3</f>
        <v>02月度</v>
      </c>
      <c r="AZ10" s="81" t="str">
        <f>LOOKUP(AY10,AY3:AZ8)</f>
        <v>【長さ計】　自主検査結果報告書</v>
      </c>
    </row>
    <row r="11" spans="2:53" ht="12.95" customHeight="1">
      <c r="B11" s="4"/>
      <c r="E11" s="89" t="s">
        <v>5</v>
      </c>
      <c r="F11" s="89"/>
      <c r="G11" s="89"/>
      <c r="H11" s="89"/>
      <c r="I11" s="89"/>
      <c r="J11" s="90" t="s">
        <v>113</v>
      </c>
      <c r="K11" s="91"/>
      <c r="L11" s="91"/>
      <c r="M11" s="91"/>
      <c r="N11" s="91"/>
      <c r="O11" s="91"/>
      <c r="P11" s="91"/>
      <c r="Q11" s="91"/>
      <c r="R11" s="91"/>
      <c r="S11" s="91"/>
      <c r="T11" s="91"/>
      <c r="U11" s="91"/>
      <c r="V11" s="91"/>
      <c r="W11" s="91"/>
      <c r="X11" s="91"/>
      <c r="AA11" s="97" t="s">
        <v>2</v>
      </c>
      <c r="AB11" s="98"/>
      <c r="AC11" s="98"/>
      <c r="AD11" s="99"/>
      <c r="AE11" s="97" t="s">
        <v>3</v>
      </c>
      <c r="AF11" s="98"/>
      <c r="AG11" s="98"/>
      <c r="AH11" s="99"/>
      <c r="AJ11" s="5"/>
      <c r="AR11" s="21" t="str">
        <f ca="1">(YEAR(AR1)-2)&amp;"年"</f>
        <v>2024年</v>
      </c>
      <c r="AS11" s="76"/>
      <c r="AU11" s="75" t="s">
        <v>36</v>
      </c>
      <c r="AV11" s="75" t="s">
        <v>37</v>
      </c>
      <c r="AW11" s="75" t="s">
        <v>89</v>
      </c>
    </row>
    <row r="12" spans="2:53" ht="12.95" customHeight="1" thickBot="1">
      <c r="B12" s="4"/>
      <c r="E12" s="89"/>
      <c r="F12" s="89"/>
      <c r="G12" s="89"/>
      <c r="H12" s="89"/>
      <c r="I12" s="89"/>
      <c r="J12" s="92"/>
      <c r="K12" s="92"/>
      <c r="L12" s="92"/>
      <c r="M12" s="92"/>
      <c r="N12" s="92"/>
      <c r="O12" s="92"/>
      <c r="P12" s="92"/>
      <c r="Q12" s="92"/>
      <c r="R12" s="92"/>
      <c r="S12" s="92"/>
      <c r="T12" s="92"/>
      <c r="U12" s="92"/>
      <c r="V12" s="92"/>
      <c r="W12" s="92"/>
      <c r="X12" s="92"/>
      <c r="AA12" s="32"/>
      <c r="AB12" s="10"/>
      <c r="AC12" s="10"/>
      <c r="AD12" s="17"/>
      <c r="AE12" s="16"/>
      <c r="AF12" s="10"/>
      <c r="AG12" s="10"/>
      <c r="AH12" s="35"/>
      <c r="AJ12" s="5"/>
      <c r="AU12" s="75" t="s">
        <v>38</v>
      </c>
      <c r="AV12" s="75" t="s">
        <v>39</v>
      </c>
      <c r="AW12" s="75" t="s">
        <v>89</v>
      </c>
    </row>
    <row r="13" spans="2:53" ht="12.95" customHeight="1" thickBot="1">
      <c r="B13" s="4"/>
      <c r="AA13" s="32"/>
      <c r="AB13" s="10"/>
      <c r="AC13" s="10"/>
      <c r="AD13" s="17"/>
      <c r="AE13" s="16"/>
      <c r="AF13" s="10"/>
      <c r="AG13" s="10"/>
      <c r="AH13" s="35"/>
      <c r="AJ13" s="5"/>
      <c r="AL13" s="47" t="s">
        <v>82</v>
      </c>
      <c r="AM13" s="48"/>
      <c r="AN13" s="48"/>
      <c r="AO13" s="48"/>
      <c r="AP13" s="48"/>
      <c r="AQ13" s="48"/>
      <c r="AR13" s="64"/>
      <c r="AU13" s="75" t="s">
        <v>40</v>
      </c>
      <c r="AV13" s="75" t="s">
        <v>41</v>
      </c>
      <c r="AW13" s="75" t="s">
        <v>89</v>
      </c>
    </row>
    <row r="14" spans="2:53" ht="12.95" customHeight="1">
      <c r="B14" s="4"/>
      <c r="AA14" s="32"/>
      <c r="AB14" s="10"/>
      <c r="AC14" s="10"/>
      <c r="AD14" s="17"/>
      <c r="AE14" s="16"/>
      <c r="AF14" s="10"/>
      <c r="AG14" s="10"/>
      <c r="AH14" s="35"/>
      <c r="AJ14" s="5"/>
      <c r="AM14" s="51" t="s">
        <v>91</v>
      </c>
      <c r="AQ14" s="51" t="s">
        <v>90</v>
      </c>
      <c r="AU14" s="75" t="s">
        <v>42</v>
      </c>
      <c r="AV14" s="75" t="s">
        <v>43</v>
      </c>
      <c r="AW14" s="75" t="s">
        <v>89</v>
      </c>
    </row>
    <row r="15" spans="2:53" ht="12.95" customHeight="1">
      <c r="B15" s="4"/>
      <c r="AA15" s="33"/>
      <c r="AB15" s="31"/>
      <c r="AC15" s="31"/>
      <c r="AD15" s="34"/>
      <c r="AE15" s="33"/>
      <c r="AF15" s="31"/>
      <c r="AG15" s="31"/>
      <c r="AH15" s="34"/>
      <c r="AJ15" s="5"/>
      <c r="AQ15" s="51"/>
      <c r="AU15" s="75" t="s">
        <v>44</v>
      </c>
      <c r="AV15" s="75" t="s">
        <v>45</v>
      </c>
      <c r="AW15" s="75" t="s">
        <v>89</v>
      </c>
    </row>
    <row r="16" spans="2:53" ht="12.95" customHeight="1">
      <c r="B16" s="4"/>
      <c r="AJ16" s="5"/>
      <c r="AU16" s="75" t="s">
        <v>46</v>
      </c>
      <c r="AV16" s="75" t="s">
        <v>24</v>
      </c>
      <c r="AW16" s="75" t="s">
        <v>89</v>
      </c>
    </row>
    <row r="17" spans="2:49" ht="12.95" customHeight="1">
      <c r="B17" s="4"/>
      <c r="C17" t="s">
        <v>6</v>
      </c>
      <c r="AJ17" s="5"/>
      <c r="AS17" s="74" t="str">
        <f>J11</f>
        <v>C1983F1</v>
      </c>
      <c r="AT17" s="75">
        <f>LOOKUP(AS17,AU2:AV21)</f>
        <v>0</v>
      </c>
      <c r="AU17" s="75" t="s">
        <v>15</v>
      </c>
      <c r="AW17" s="75" t="s">
        <v>14</v>
      </c>
    </row>
    <row r="18" spans="2:49" ht="12.95" customHeight="1">
      <c r="B18" s="4"/>
      <c r="C18" t="s">
        <v>7</v>
      </c>
      <c r="AJ18" s="5"/>
      <c r="AT18" s="75" t="str">
        <f ca="1">LOOKUP(AS17,AU2:AW21,AW2:AW20)</f>
        <v>雄勝セラミックス(株)</v>
      </c>
      <c r="AU18" s="75" t="s">
        <v>22</v>
      </c>
      <c r="AW18" s="75" t="s">
        <v>104</v>
      </c>
    </row>
    <row r="19" spans="2:49" ht="12.95" customHeight="1">
      <c r="B19" s="4"/>
      <c r="C19" t="s">
        <v>77</v>
      </c>
      <c r="AJ19" s="5"/>
      <c r="AU19" s="75" t="s">
        <v>18</v>
      </c>
      <c r="AW19" s="75" t="s">
        <v>88</v>
      </c>
    </row>
    <row r="20" spans="2:49" ht="12.95" customHeight="1">
      <c r="B20" s="4"/>
      <c r="AJ20" s="5"/>
    </row>
    <row r="21" spans="2:49" ht="12.95" customHeight="1" thickBot="1">
      <c r="B21" s="4"/>
      <c r="C21" t="s">
        <v>92</v>
      </c>
      <c r="AJ21" s="5"/>
    </row>
    <row r="22" spans="2:49" ht="12.95" customHeight="1" thickBot="1">
      <c r="B22" s="4"/>
      <c r="AJ22" s="5"/>
      <c r="AL22" s="43" t="s">
        <v>81</v>
      </c>
      <c r="AM22" s="44"/>
      <c r="AN22" s="44"/>
      <c r="AO22" s="44"/>
      <c r="AP22" s="44"/>
      <c r="AQ22" s="44"/>
      <c r="AR22" s="65"/>
    </row>
    <row r="23" spans="2:49" ht="12.95" customHeight="1">
      <c r="B23" s="4"/>
      <c r="D23" s="13"/>
      <c r="E23" s="52" t="s">
        <v>97</v>
      </c>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5"/>
      <c r="AJ23" s="5"/>
      <c r="AL23" s="12" t="s">
        <v>99</v>
      </c>
      <c r="AM23" t="s">
        <v>84</v>
      </c>
      <c r="AN23" s="53" t="str">
        <f>MID(O3,2,3)</f>
        <v>長さ計</v>
      </c>
      <c r="AO23" s="27" t="str">
        <f>"生産に使われている "&amp;AN23&amp; " " &amp;AN24&amp;"台の自主検査を実施しました。"</f>
        <v>生産に使われている 長さ計 0台の自主検査を実施しました。</v>
      </c>
    </row>
    <row r="24" spans="2:49" ht="12.95" customHeight="1">
      <c r="B24" s="4"/>
      <c r="D24" s="16"/>
      <c r="E24" t="str">
        <f>AO23</f>
        <v>生産に使われている 長さ計 0台の自主検査を実施しました。</v>
      </c>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7"/>
      <c r="AJ24" s="5"/>
      <c r="AL24" s="58" t="s">
        <v>47</v>
      </c>
      <c r="AM24" s="54" t="s">
        <v>94</v>
      </c>
      <c r="AN24" s="54">
        <f>SUM(AN26:AN35)</f>
        <v>0</v>
      </c>
    </row>
    <row r="25" spans="2:49" ht="12.95" customHeight="1">
      <c r="B25" s="4"/>
      <c r="D25" s="16"/>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7"/>
      <c r="AJ25" s="5"/>
      <c r="AL25" s="49" t="s">
        <v>83</v>
      </c>
      <c r="AM25" s="93" t="s">
        <v>80</v>
      </c>
      <c r="AN25" s="93"/>
      <c r="AO25" s="28" t="s">
        <v>48</v>
      </c>
    </row>
    <row r="26" spans="2:49" ht="12.95" customHeight="1">
      <c r="B26" s="4"/>
      <c r="D26" s="16"/>
      <c r="E26" s="36" t="str">
        <f>IF(AM26="","",AO26)</f>
        <v/>
      </c>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7"/>
      <c r="AJ26" s="5"/>
      <c r="AL26">
        <v>1</v>
      </c>
      <c r="AM26" s="29"/>
      <c r="AN26" s="29"/>
      <c r="AO26" s="27" t="str">
        <f>"・"&amp;AM26&amp;"・・・"&amp;AN26&amp;"台"</f>
        <v>・・・・台</v>
      </c>
    </row>
    <row r="27" spans="2:49" ht="12.95" customHeight="1">
      <c r="B27" s="4"/>
      <c r="D27" s="16"/>
      <c r="E27" s="36" t="str">
        <f t="shared" ref="E27:E35" si="0">IF(AM27="","",AO27)</f>
        <v/>
      </c>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7"/>
      <c r="AJ27" s="5"/>
      <c r="AL27">
        <v>2</v>
      </c>
      <c r="AM27" s="29"/>
      <c r="AN27" s="29"/>
      <c r="AO27" s="27" t="str">
        <f>"・"&amp;AM27&amp;"・・・"&amp;AN27&amp;"台"</f>
        <v>・・・・台</v>
      </c>
    </row>
    <row r="28" spans="2:49" ht="12.95" customHeight="1">
      <c r="B28" s="4"/>
      <c r="D28" s="16"/>
      <c r="E28" s="36" t="str">
        <f t="shared" si="0"/>
        <v/>
      </c>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7"/>
      <c r="AJ28" s="5"/>
      <c r="AL28">
        <v>3</v>
      </c>
      <c r="AM28" s="29"/>
      <c r="AN28" s="29"/>
      <c r="AO28" s="27" t="str">
        <f>"・"&amp;AM28&amp;"・・・"&amp;AN28&amp;"台"</f>
        <v>・・・・台</v>
      </c>
    </row>
    <row r="29" spans="2:49" ht="12.95" customHeight="1">
      <c r="B29" s="4"/>
      <c r="D29" s="16"/>
      <c r="E29" s="36" t="str">
        <f t="shared" si="0"/>
        <v/>
      </c>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7"/>
      <c r="AJ29" s="5"/>
      <c r="AL29">
        <v>4</v>
      </c>
      <c r="AM29" s="29"/>
      <c r="AN29" s="29"/>
      <c r="AO29" s="27" t="str">
        <f t="shared" ref="AO29:AO35" si="1">"・"&amp;AM29&amp;"・・・"&amp;AN29&amp;"台"</f>
        <v>・・・・台</v>
      </c>
    </row>
    <row r="30" spans="2:49" ht="12.95" customHeight="1">
      <c r="B30" s="4"/>
      <c r="D30" s="16"/>
      <c r="E30" s="36" t="str">
        <f t="shared" si="0"/>
        <v/>
      </c>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7"/>
      <c r="AJ30" s="5"/>
      <c r="AL30">
        <v>5</v>
      </c>
      <c r="AM30" s="29"/>
      <c r="AN30" s="29"/>
      <c r="AO30" s="27" t="str">
        <f t="shared" si="1"/>
        <v>・・・・台</v>
      </c>
    </row>
    <row r="31" spans="2:49" ht="12.95" customHeight="1">
      <c r="B31" s="4"/>
      <c r="D31" s="16"/>
      <c r="E31" s="36" t="str">
        <f t="shared" si="0"/>
        <v/>
      </c>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7"/>
      <c r="AJ31" s="5"/>
      <c r="AL31">
        <v>6</v>
      </c>
      <c r="AM31" s="29"/>
      <c r="AN31" s="29"/>
      <c r="AO31" s="27" t="str">
        <f t="shared" si="1"/>
        <v>・・・・台</v>
      </c>
    </row>
    <row r="32" spans="2:49" ht="12.95" customHeight="1">
      <c r="B32" s="4"/>
      <c r="D32" s="16"/>
      <c r="E32" s="36" t="str">
        <f t="shared" si="0"/>
        <v/>
      </c>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7"/>
      <c r="AJ32" s="5"/>
      <c r="AL32">
        <v>7</v>
      </c>
      <c r="AM32" s="29"/>
      <c r="AN32" s="29"/>
      <c r="AO32" s="27" t="str">
        <f t="shared" si="1"/>
        <v>・・・・台</v>
      </c>
    </row>
    <row r="33" spans="2:44" ht="12.95" customHeight="1">
      <c r="B33" s="4"/>
      <c r="D33" s="16"/>
      <c r="E33" s="36" t="str">
        <f t="shared" si="0"/>
        <v/>
      </c>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7"/>
      <c r="AJ33" s="5"/>
      <c r="AL33">
        <v>8</v>
      </c>
      <c r="AM33" s="29"/>
      <c r="AN33" s="29"/>
      <c r="AO33" s="27" t="str">
        <f t="shared" si="1"/>
        <v>・・・・台</v>
      </c>
    </row>
    <row r="34" spans="2:44" ht="12.95" customHeight="1">
      <c r="B34" s="4"/>
      <c r="D34" s="16"/>
      <c r="E34" s="36" t="str">
        <f t="shared" si="0"/>
        <v/>
      </c>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7"/>
      <c r="AJ34" s="5"/>
      <c r="AL34">
        <v>9</v>
      </c>
      <c r="AM34" s="29"/>
      <c r="AN34" s="29"/>
      <c r="AO34" s="27" t="str">
        <f t="shared" si="1"/>
        <v>・・・・台</v>
      </c>
    </row>
    <row r="35" spans="2:44" ht="12.95" customHeight="1">
      <c r="B35" s="4"/>
      <c r="D35" s="22"/>
      <c r="E35" s="36" t="str">
        <f t="shared" si="0"/>
        <v/>
      </c>
      <c r="F35" s="23"/>
      <c r="G35" s="23"/>
      <c r="H35" s="23"/>
      <c r="I35" s="23"/>
      <c r="J35" s="23"/>
      <c r="K35" s="23"/>
      <c r="L35" s="23"/>
      <c r="M35" s="23"/>
      <c r="N35" s="23"/>
      <c r="O35" s="23"/>
      <c r="P35" s="23"/>
      <c r="Q35" s="23"/>
      <c r="R35" s="23"/>
      <c r="S35" s="24"/>
      <c r="T35" s="10"/>
      <c r="U35" s="10"/>
      <c r="V35" s="10"/>
      <c r="W35" s="10"/>
      <c r="X35" s="10"/>
      <c r="Y35" s="10"/>
      <c r="Z35" s="10"/>
      <c r="AA35" s="10"/>
      <c r="AB35" s="10"/>
      <c r="AC35" s="10"/>
      <c r="AD35" s="10"/>
      <c r="AE35" s="10"/>
      <c r="AF35" s="10"/>
      <c r="AG35" s="10"/>
      <c r="AH35" s="17"/>
      <c r="AJ35" s="5"/>
      <c r="AL35">
        <v>10</v>
      </c>
      <c r="AM35" s="29"/>
      <c r="AN35" s="29"/>
      <c r="AO35" s="27" t="str">
        <f t="shared" si="1"/>
        <v>・・・・台</v>
      </c>
    </row>
    <row r="36" spans="2:44" ht="12.95" customHeight="1">
      <c r="B36" s="4"/>
      <c r="D36" s="22"/>
      <c r="E36" s="23" t="str">
        <f>IF(AM36="","",AO36)</f>
        <v/>
      </c>
      <c r="F36" s="23"/>
      <c r="G36" s="23"/>
      <c r="H36" s="23"/>
      <c r="I36" s="23"/>
      <c r="J36" s="23"/>
      <c r="K36" s="23"/>
      <c r="L36" s="23"/>
      <c r="M36" s="23"/>
      <c r="N36" s="23"/>
      <c r="O36" s="23"/>
      <c r="P36" s="23"/>
      <c r="Q36" s="23"/>
      <c r="R36" s="23"/>
      <c r="S36" s="24"/>
      <c r="T36" s="10"/>
      <c r="U36" s="10"/>
      <c r="V36" s="10"/>
      <c r="W36" s="10"/>
      <c r="X36" s="10"/>
      <c r="Y36" s="10"/>
      <c r="Z36" s="10"/>
      <c r="AA36" s="10"/>
      <c r="AB36" s="10"/>
      <c r="AC36" s="10"/>
      <c r="AD36" s="10"/>
      <c r="AE36" s="10"/>
      <c r="AF36" s="10"/>
      <c r="AG36" s="10"/>
      <c r="AH36" s="17"/>
      <c r="AJ36" s="5"/>
      <c r="AL36" s="50" t="s">
        <v>79</v>
      </c>
    </row>
    <row r="37" spans="2:44" ht="12.95" customHeight="1">
      <c r="B37" s="4"/>
      <c r="D37" s="16"/>
      <c r="E37" s="36" t="s">
        <v>96</v>
      </c>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7"/>
      <c r="AJ37" s="5"/>
      <c r="AL37" s="61" t="s">
        <v>98</v>
      </c>
      <c r="AM37" s="41" t="s">
        <v>49</v>
      </c>
      <c r="AN37" s="29">
        <v>0</v>
      </c>
      <c r="AO37" t="str">
        <f>"・合格計測器・・・・"&amp;AN37&amp;"台"</f>
        <v>・合格計測器・・・・0台</v>
      </c>
    </row>
    <row r="38" spans="2:44" ht="12.95" customHeight="1">
      <c r="B38" s="4"/>
      <c r="D38" s="16"/>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7"/>
      <c r="AJ38" s="5"/>
      <c r="AL38" s="61" t="s">
        <v>98</v>
      </c>
      <c r="AM38" s="55" t="s">
        <v>50</v>
      </c>
      <c r="AN38" s="29">
        <v>0</v>
      </c>
      <c r="AO38" t="str">
        <f>"・不合格計測器・・・"&amp;AN38&amp;"台"</f>
        <v>・不合格計測器・・・0台</v>
      </c>
    </row>
    <row r="39" spans="2:44" ht="12.95" customHeight="1" thickBot="1">
      <c r="B39" s="4"/>
      <c r="D39" s="16"/>
      <c r="E39" s="37" t="str">
        <f>AN48&amp;" 台中 "&amp;"合格："&amp;AN37&amp;"台、"&amp;"不合格："&amp;AN38&amp;"台、"&amp;"E：故障"&amp;AN41&amp;"台、"&amp;"H：廃棄"&amp;AN42&amp;"台、"&amp;"U：遊休"&amp;AN43&amp;"台、"&amp;"Z：不明"&amp;AN44 &amp;"台"</f>
        <v>0 台中 合格：0台、不合格：0台、E：故障0台、H：廃棄0台、U：遊休0台、Z：不明0台</v>
      </c>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7"/>
      <c r="AJ39" s="5"/>
      <c r="AN39">
        <v>0</v>
      </c>
    </row>
    <row r="40" spans="2:44" ht="12.95" customHeight="1" thickBot="1">
      <c r="B40" s="4"/>
      <c r="D40" s="16"/>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7"/>
      <c r="AJ40" s="5"/>
      <c r="AL40" s="45" t="s">
        <v>78</v>
      </c>
      <c r="AM40" s="46"/>
      <c r="AN40" s="46">
        <v>0</v>
      </c>
      <c r="AO40" s="46"/>
      <c r="AP40" s="46"/>
      <c r="AQ40" s="46"/>
      <c r="AR40" s="66"/>
    </row>
    <row r="41" spans="2:44" ht="12.95" customHeight="1">
      <c r="B41" s="4"/>
      <c r="D41" s="16"/>
      <c r="E41" s="37" t="str">
        <f>AM45 &amp; " " &amp;AN45&amp;"台でした。"</f>
        <v>部門間移動 0台でした。</v>
      </c>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7"/>
      <c r="AJ41" s="5"/>
      <c r="AL41" s="61" t="s">
        <v>98</v>
      </c>
      <c r="AM41" s="42" t="s">
        <v>51</v>
      </c>
      <c r="AN41" s="42">
        <v>0</v>
      </c>
    </row>
    <row r="42" spans="2:44" ht="12.95" customHeight="1">
      <c r="B42" s="4"/>
      <c r="D42" s="16"/>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7"/>
      <c r="AJ42" s="5"/>
      <c r="AL42" s="61" t="s">
        <v>98</v>
      </c>
      <c r="AM42" s="29" t="s">
        <v>52</v>
      </c>
      <c r="AN42" s="29">
        <v>0</v>
      </c>
      <c r="AO42" t="str">
        <f>IF(AN42=" ",AN42="0","")</f>
        <v/>
      </c>
    </row>
    <row r="43" spans="2:44" ht="12.95" customHeight="1">
      <c r="B43" s="4"/>
      <c r="D43" s="16"/>
      <c r="F43" s="10"/>
      <c r="G43" s="10"/>
      <c r="H43" s="10"/>
      <c r="I43" s="10"/>
      <c r="J43" s="10"/>
      <c r="K43" s="10"/>
      <c r="M43" s="10"/>
      <c r="N43" s="10"/>
      <c r="O43" s="10"/>
      <c r="P43" s="10"/>
      <c r="Q43" s="10"/>
      <c r="R43" s="10"/>
      <c r="S43" s="10"/>
      <c r="T43" s="10"/>
      <c r="U43" s="10"/>
      <c r="V43" s="10"/>
      <c r="W43" s="10"/>
      <c r="X43" s="10"/>
      <c r="Y43" s="10"/>
      <c r="Z43" s="10"/>
      <c r="AA43" s="10"/>
      <c r="AB43" s="10"/>
      <c r="AC43" s="10"/>
      <c r="AD43" s="10"/>
      <c r="AE43" s="10"/>
      <c r="AF43" s="10"/>
      <c r="AG43" s="10"/>
      <c r="AH43" s="17"/>
      <c r="AJ43" s="5"/>
      <c r="AL43" s="61" t="s">
        <v>98</v>
      </c>
      <c r="AM43" s="29" t="s">
        <v>53</v>
      </c>
      <c r="AN43" s="29">
        <v>0</v>
      </c>
    </row>
    <row r="44" spans="2:44" ht="12.95" customHeight="1">
      <c r="B44" s="4"/>
      <c r="D44" s="16"/>
      <c r="AH44" s="35"/>
      <c r="AJ44" s="5"/>
      <c r="AL44" s="61" t="s">
        <v>98</v>
      </c>
      <c r="AM44" s="29" t="s">
        <v>54</v>
      </c>
      <c r="AN44" s="29">
        <v>0</v>
      </c>
    </row>
    <row r="45" spans="2:44" ht="12.95" customHeight="1">
      <c r="B45" s="4"/>
      <c r="D45" s="16"/>
      <c r="K45" s="39"/>
      <c r="AH45" s="35"/>
      <c r="AJ45" s="5"/>
      <c r="AL45" s="61" t="s">
        <v>98</v>
      </c>
      <c r="AM45" s="29" t="s">
        <v>55</v>
      </c>
      <c r="AN45" s="29">
        <v>0</v>
      </c>
    </row>
    <row r="46" spans="2:44" ht="12.95" customHeight="1">
      <c r="B46" s="4"/>
      <c r="D46" s="16"/>
      <c r="K46" s="39"/>
      <c r="AH46" s="35"/>
      <c r="AJ46" s="5"/>
      <c r="AL46" s="58" t="s">
        <v>101</v>
      </c>
      <c r="AM46" s="59" t="s">
        <v>100</v>
      </c>
      <c r="AN46" s="60">
        <f>SUM(AN41:AN45)</f>
        <v>0</v>
      </c>
    </row>
    <row r="47" spans="2:44" ht="12.95" customHeight="1">
      <c r="B47" s="4"/>
      <c r="D47" s="16"/>
      <c r="K47" s="39"/>
      <c r="AH47" s="35"/>
      <c r="AJ47" s="5"/>
      <c r="AL47" s="56"/>
    </row>
    <row r="48" spans="2:44" ht="12.95" customHeight="1">
      <c r="B48" s="4"/>
      <c r="D48" s="16"/>
      <c r="K48" s="39"/>
      <c r="AH48" s="35"/>
      <c r="AJ48" s="5"/>
      <c r="AL48" s="57" t="s">
        <v>95</v>
      </c>
      <c r="AM48" s="62" t="s">
        <v>102</v>
      </c>
      <c r="AN48" s="63">
        <f>SUM(AN37:AN45)</f>
        <v>0</v>
      </c>
      <c r="AO48" t="s">
        <v>93</v>
      </c>
    </row>
    <row r="49" spans="2:53" ht="12.95" customHeight="1">
      <c r="B49" s="4"/>
      <c r="D49" s="16"/>
      <c r="K49" s="39"/>
      <c r="AH49" s="35"/>
      <c r="AJ49" s="5"/>
    </row>
    <row r="50" spans="2:53" ht="12.95" customHeight="1">
      <c r="B50" s="4"/>
      <c r="D50" s="16"/>
      <c r="K50" s="39"/>
      <c r="AH50" s="35"/>
      <c r="AJ50" s="5"/>
    </row>
    <row r="51" spans="2:53" ht="12.95" customHeight="1">
      <c r="B51" s="4"/>
      <c r="D51" s="16"/>
      <c r="AH51" s="35"/>
      <c r="AJ51" s="5"/>
      <c r="AL51" s="30" t="s">
        <v>56</v>
      </c>
      <c r="AM51" s="29" t="str">
        <f>IF(AN38=0,"","修理する予定です。")</f>
        <v/>
      </c>
    </row>
    <row r="52" spans="2:53" ht="12.95" customHeight="1">
      <c r="B52" s="4"/>
      <c r="D52" s="16"/>
      <c r="AH52" s="35"/>
      <c r="AJ52" s="5"/>
      <c r="AL52" s="30" t="s">
        <v>57</v>
      </c>
      <c r="AM52" s="29" t="str">
        <f>IF(AN41=0,"","修理する予定です。")</f>
        <v/>
      </c>
    </row>
    <row r="53" spans="2:53" ht="12.95" customHeight="1">
      <c r="B53" s="4"/>
      <c r="D53" s="16"/>
      <c r="AH53" s="35"/>
      <c r="AJ53" s="5"/>
      <c r="AL53" s="30" t="s">
        <v>58</v>
      </c>
      <c r="AM53" s="29" t="str">
        <f>IF(AN42=0,"","廃棄にする予定です。")</f>
        <v/>
      </c>
    </row>
    <row r="54" spans="2:53" ht="12.95" customHeight="1">
      <c r="B54" s="4"/>
      <c r="D54" s="18"/>
      <c r="E54" s="19"/>
      <c r="F54" s="31"/>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20"/>
      <c r="AJ54" s="5"/>
      <c r="AL54" s="30" t="s">
        <v>59</v>
      </c>
      <c r="AM54" s="29" t="str">
        <f>IF(AN43=0,"","遊休にする予定です。")</f>
        <v/>
      </c>
    </row>
    <row r="55" spans="2:53" ht="12.95" customHeight="1">
      <c r="B55" s="4"/>
      <c r="AJ55" s="5"/>
      <c r="AL55" s="30" t="s">
        <v>60</v>
      </c>
      <c r="AM55" s="29" t="str">
        <f>IF(AN45=0,"","移動にする予定です。")</f>
        <v/>
      </c>
    </row>
    <row r="56" spans="2:53" ht="12.95" customHeight="1">
      <c r="B56" s="4"/>
      <c r="AJ56" s="5"/>
    </row>
    <row r="57" spans="2:53" ht="13.5" customHeight="1" thickBot="1">
      <c r="B57" s="6"/>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8"/>
    </row>
    <row r="61" spans="2:53" s="10" customFormat="1" ht="24.75" thickBot="1">
      <c r="C61" s="9" t="s">
        <v>61</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25"/>
      <c r="AD61" s="25"/>
      <c r="AE61" s="25"/>
      <c r="AF61" s="25"/>
      <c r="AG61" s="25"/>
      <c r="AH61" s="25"/>
      <c r="AI61" s="25"/>
      <c r="AL61"/>
      <c r="AM61"/>
      <c r="AN61"/>
      <c r="AO61"/>
      <c r="AQ61"/>
      <c r="AR61" s="12"/>
      <c r="AS61" s="74"/>
      <c r="AT61" s="75"/>
      <c r="AU61" s="75"/>
      <c r="AV61" s="75"/>
      <c r="AW61" s="75"/>
      <c r="AX61" s="77"/>
      <c r="AY61" s="83"/>
      <c r="AZ61" s="83"/>
      <c r="BA61" s="69"/>
    </row>
    <row r="62" spans="2:53" s="10" customFormat="1" ht="24.75" thickBot="1">
      <c r="C62" s="26"/>
      <c r="D62" s="94" t="s">
        <v>17</v>
      </c>
      <c r="E62" s="95"/>
      <c r="F62" s="95"/>
      <c r="G62" s="95"/>
      <c r="H62" s="96"/>
      <c r="J62" s="94" t="s">
        <v>0</v>
      </c>
      <c r="K62" s="95"/>
      <c r="L62" s="95"/>
      <c r="M62" s="95"/>
      <c r="N62" s="96"/>
      <c r="O62" s="94" t="s">
        <v>1</v>
      </c>
      <c r="P62" s="95"/>
      <c r="Q62" s="95"/>
      <c r="R62" s="95"/>
      <c r="S62" s="95"/>
      <c r="T62" s="95"/>
      <c r="U62" s="95"/>
      <c r="V62" s="95"/>
      <c r="W62" s="95"/>
      <c r="X62" s="95"/>
      <c r="Y62" s="95"/>
      <c r="Z62" s="95"/>
      <c r="AA62" s="95"/>
      <c r="AB62" s="95"/>
      <c r="AC62" s="95"/>
      <c r="AD62" s="95"/>
      <c r="AE62" s="95"/>
      <c r="AF62" s="95"/>
      <c r="AG62" s="95"/>
      <c r="AH62" s="96"/>
      <c r="AL62"/>
      <c r="AM62"/>
      <c r="AN62"/>
      <c r="AQ62"/>
      <c r="AR62" s="12"/>
      <c r="AS62" s="74"/>
      <c r="AT62" s="75"/>
      <c r="AU62" s="75"/>
      <c r="AV62" s="75"/>
      <c r="AW62" s="77"/>
      <c r="AX62" s="77"/>
      <c r="AY62" s="83"/>
      <c r="AZ62" s="83"/>
      <c r="BA62" s="69"/>
    </row>
    <row r="63" spans="2:53">
      <c r="AL63" s="10"/>
      <c r="AM63" s="10"/>
      <c r="AN63" s="10"/>
      <c r="AO63" s="10"/>
      <c r="AW63" s="77"/>
    </row>
    <row r="64" spans="2:53">
      <c r="AL64" s="10"/>
      <c r="AM64" s="10"/>
      <c r="AN64" s="10"/>
    </row>
  </sheetData>
  <mergeCells count="15">
    <mergeCell ref="E3:I3"/>
    <mergeCell ref="J3:N3"/>
    <mergeCell ref="O3:AH3"/>
    <mergeCell ref="J5:X7"/>
    <mergeCell ref="E7:I8"/>
    <mergeCell ref="J8:X10"/>
    <mergeCell ref="AA6:AI6"/>
    <mergeCell ref="E11:I12"/>
    <mergeCell ref="J11:X12"/>
    <mergeCell ref="AM25:AN25"/>
    <mergeCell ref="D62:H62"/>
    <mergeCell ref="J62:N62"/>
    <mergeCell ref="O62:AH62"/>
    <mergeCell ref="AA11:AD11"/>
    <mergeCell ref="AE11:AH11"/>
  </mergeCells>
  <phoneticPr fontId="1"/>
  <conditionalFormatting sqref="AM37">
    <cfRule type="containsText" dxfId="1" priority="2" stopIfTrue="1" operator="containsText" text="&quot;&quot;">
      <formula>NOT(ISERROR(SEARCH("""""",AM37)))</formula>
    </cfRule>
  </conditionalFormatting>
  <conditionalFormatting sqref="AM26:AN35">
    <cfRule type="containsBlanks" dxfId="0" priority="1">
      <formula>LEN(TRIM(AM26))=0</formula>
    </cfRule>
  </conditionalFormatting>
  <dataValidations count="8">
    <dataValidation type="list" allowBlank="1" showInputMessage="1" showErrorMessage="1" sqref="WVL62 D62 IZ62 SV62 ACR62 AMN62 AWJ62 BGF62 BQB62 BZX62 CJT62 CTP62 DDL62 DNH62 DXD62 EGZ62 EQV62 FAR62 FKN62 FUJ62 GEF62 GOB62 GXX62 HHT62 HRP62 IBL62 ILH62 IVD62 JEZ62 JOV62 JYR62 KIN62 KSJ62 LCF62 LMB62 LVX62 MFT62 MPP62 MZL62 NJH62 NTD62 OCZ62 OMV62 OWR62 PGN62 PQJ62 QAF62 QKB62 QTX62 RDT62 RNP62 RXL62 SHH62 SRD62 TAZ62 TKV62 TUR62 UEN62 UOJ62 UYF62 VIB62 VRX62 WBT62 WLP62" xr:uid="{00000000-0002-0000-0000-000000000000}">
      <formula1>$AR$3:$AR$9</formula1>
    </dataValidation>
    <dataValidation type="list" allowBlank="1" showInputMessage="1" showErrorMessage="1" sqref="WVW62:WWA62 O62:S62 JK62:JO62 TG62:TK62 ADC62:ADG62 AMY62:ANC62 AWU62:AWY62 BGQ62:BGU62 BQM62:BQQ62 CAI62:CAM62 CKE62:CKI62 CUA62:CUE62 DDW62:DEA62 DNS62:DNW62 DXO62:DXS62 EHK62:EHO62 ERG62:ERK62 FBC62:FBG62 FKY62:FLC62 FUU62:FUY62 GEQ62:GEU62 GOM62:GOQ62 GYI62:GYM62 HIE62:HII62 HSA62:HSE62 IBW62:ICA62 ILS62:ILW62 IVO62:IVS62 JFK62:JFO62 JPG62:JPK62 JZC62:JZG62 KIY62:KJC62 KSU62:KSY62 LCQ62:LCU62 LMM62:LMQ62 LWI62:LWM62 MGE62:MGI62 MQA62:MQE62 MZW62:NAA62 NJS62:NJW62 NTO62:NTS62 ODK62:ODO62 ONG62:ONK62 OXC62:OXG62 PGY62:PHC62 PQU62:PQY62 QAQ62:QAU62 QKM62:QKQ62 QUI62:QUM62 REE62:REI62 ROA62:ROE62 RXW62:RYA62 SHS62:SHW62 SRO62:SRS62 TBK62:TBO62 TLG62:TLK62 TVC62:TVG62 UEY62:UFC62 UOU62:UOY62 UYQ62:UYU62 VIM62:VIQ62 VSI62:VSM62 WCE62:WCI62 WMA62:WME62" xr:uid="{00000000-0002-0000-0000-000002000000}">
      <formula1>$AQ$3:$AQ$6</formula1>
    </dataValidation>
    <dataValidation type="list" allowBlank="1" showInputMessage="1" showErrorMessage="1" sqref="AQ9" xr:uid="{6A784E8B-D266-4773-B88B-AFB7540580EF}">
      <formula1>$AR$5:$AR$11</formula1>
    </dataValidation>
    <dataValidation type="list" allowBlank="1" showInputMessage="1" showErrorMessage="1" sqref="J11:X12" xr:uid="{71D13B3F-DE55-4779-8BA0-7D31862A76DA}">
      <formula1>$AU$3:$AU$16</formula1>
    </dataValidation>
    <dataValidation type="list" allowBlank="1" showInputMessage="1" showErrorMessage="1" sqref="K41" xr:uid="{00000000-0002-0000-0000-000006000000}">
      <formula1>$AM$51:$AM$54</formula1>
    </dataValidation>
    <dataValidation type="list" allowBlank="1" showInputMessage="1" showErrorMessage="1" sqref="J62:N62 WVR62:WVV62 WLV62:WLZ62 WBZ62:WCD62 VSD62:VSH62 VIH62:VIL62 UYL62:UYP62 UOP62:UOT62 UET62:UEX62 TUX62:TVB62 TLB62:TLF62 TBF62:TBJ62 SRJ62:SRN62 SHN62:SHR62 RXR62:RXV62 RNV62:RNZ62 RDZ62:RED62 QUD62:QUH62 QKH62:QKL62 QAL62:QAP62 PQP62:PQT62 PGT62:PGX62 OWX62:OXB62 ONB62:ONF62 ODF62:ODJ62 NTJ62:NTN62 NJN62:NJR62 MZR62:MZV62 MPV62:MPZ62 MFZ62:MGD62 LWD62:LWH62 LMH62:LML62 LCL62:LCP62 KSP62:KST62 KIT62:KIX62 JYX62:JZB62 JPB62:JPF62 JFF62:JFJ62 IVJ62:IVN62 ILN62:ILR62 IBR62:IBV62 HRV62:HRZ62 HHZ62:HID62 GYD62:GYH62 GOH62:GOL62 GEL62:GEP62 FUP62:FUT62 FKT62:FKX62 FAX62:FBB62 ERB62:ERF62 EHF62:EHJ62 DXJ62:DXN62 DNN62:DNR62 DDR62:DDV62 CTV62:CTZ62 CJZ62:CKD62 CAD62:CAH62 BQH62:BQL62 BGL62:BGP62 AWP62:AWT62 AMT62:AMX62 ACX62:ADB62 TB62:TF62 JF62:JJ62" xr:uid="{00000000-0002-0000-0000-000001000000}">
      <formula1>$AS$3:$AS$15</formula1>
    </dataValidation>
    <dataValidation type="list" allowBlank="1" showInputMessage="1" showErrorMessage="1" sqref="J3:N3" xr:uid="{90743FD9-98D1-4257-AACC-152168F52147}">
      <formula1>$AY$3:$AY$8</formula1>
    </dataValidation>
    <dataValidation type="list" allowBlank="1" showInputMessage="1" showErrorMessage="1" sqref="E3:I3" xr:uid="{5D2631FB-3A8F-4824-8E50-6D15AC52BD01}">
      <formula1>$AR$3:$AR$11</formula1>
    </dataValidation>
  </dataValidations>
  <pageMargins left="0.7" right="0.7" top="0.75" bottom="0.75" header="0.3" footer="0.3"/>
  <pageSetup paperSize="9" scale="91" orientation="portrait" horizontalDpi="300" verticalDpi="300" r:id="rId1"/>
  <headerFooter>
    <oddHeader>&amp;R&amp;"Calibri"&amp;14&amp;KFF0000 L2: Internal use only&amp;1#_x000D_</oddHeader>
  </headerFooter>
  <drawing r:id="rId2"/>
  <legacyDrawing r:id="rId3"/>
  <controls>
    <mc:AlternateContent xmlns:mc="http://schemas.openxmlformats.org/markup-compatibility/2006">
      <mc:Choice Requires="x14">
        <control shapeId="1037" r:id="rId4" name="Label1">
          <controlPr autoLine="0" autoPict="0" r:id="rId5">
            <anchor moveWithCells="1">
              <from>
                <xdr:col>37</xdr:col>
                <xdr:colOff>257175</xdr:colOff>
                <xdr:row>1</xdr:row>
                <xdr:rowOff>104775</xdr:rowOff>
              </from>
              <to>
                <xdr:col>40</xdr:col>
                <xdr:colOff>0</xdr:colOff>
                <xdr:row>2</xdr:row>
                <xdr:rowOff>180975</xdr:rowOff>
              </to>
            </anchor>
          </controlPr>
        </control>
      </mc:Choice>
      <mc:Fallback>
        <control shapeId="1037" r:id="rId4" name="Label1"/>
      </mc:Fallback>
    </mc:AlternateContent>
    <mc:AlternateContent xmlns:mc="http://schemas.openxmlformats.org/markup-compatibility/2006">
      <mc:Choice Requires="x14">
        <control shapeId="1035" r:id="rId6" name="CommandButton4">
          <controlPr defaultSize="0" autoLine="0" autoPict="0" r:id="rId7">
            <anchor moveWithCells="1">
              <from>
                <xdr:col>42</xdr:col>
                <xdr:colOff>123825</xdr:colOff>
                <xdr:row>18</xdr:row>
                <xdr:rowOff>9525</xdr:rowOff>
              </from>
              <to>
                <xdr:col>42</xdr:col>
                <xdr:colOff>1895475</xdr:colOff>
                <xdr:row>19</xdr:row>
                <xdr:rowOff>123825</xdr:rowOff>
              </to>
            </anchor>
          </controlPr>
        </control>
      </mc:Choice>
      <mc:Fallback>
        <control shapeId="1035" r:id="rId6" name="CommandButton4"/>
      </mc:Fallback>
    </mc:AlternateContent>
    <mc:AlternateContent xmlns:mc="http://schemas.openxmlformats.org/markup-compatibility/2006">
      <mc:Choice Requires="x14">
        <control shapeId="1034" r:id="rId8" name="CommandButton3">
          <controlPr defaultSize="0" autoLine="0" autoPict="0" r:id="rId9">
            <anchor moveWithCells="1">
              <from>
                <xdr:col>42</xdr:col>
                <xdr:colOff>142875</xdr:colOff>
                <xdr:row>15</xdr:row>
                <xdr:rowOff>38100</xdr:rowOff>
              </from>
              <to>
                <xdr:col>42</xdr:col>
                <xdr:colOff>1895475</xdr:colOff>
                <xdr:row>17</xdr:row>
                <xdr:rowOff>9525</xdr:rowOff>
              </to>
            </anchor>
          </controlPr>
        </control>
      </mc:Choice>
      <mc:Fallback>
        <control shapeId="1034" r:id="rId8" name="CommandButton3"/>
      </mc:Fallback>
    </mc:AlternateContent>
    <mc:AlternateContent xmlns:mc="http://schemas.openxmlformats.org/markup-compatibility/2006">
      <mc:Choice Requires="x14">
        <control shapeId="1032" r:id="rId10" name="CommandButton2">
          <controlPr defaultSize="0" autoLine="0" r:id="rId11">
            <anchor moveWithCells="1">
              <from>
                <xdr:col>38</xdr:col>
                <xdr:colOff>1104900</xdr:colOff>
                <xdr:row>18</xdr:row>
                <xdr:rowOff>9525</xdr:rowOff>
              </from>
              <to>
                <xdr:col>40</xdr:col>
                <xdr:colOff>1066800</xdr:colOff>
                <xdr:row>19</xdr:row>
                <xdr:rowOff>114300</xdr:rowOff>
              </to>
            </anchor>
          </controlPr>
        </control>
      </mc:Choice>
      <mc:Fallback>
        <control shapeId="1032" r:id="rId10" name="CommandButton2"/>
      </mc:Fallback>
    </mc:AlternateContent>
    <mc:AlternateContent xmlns:mc="http://schemas.openxmlformats.org/markup-compatibility/2006">
      <mc:Choice Requires="x14">
        <control shapeId="1031" r:id="rId12" name="CheckBox1">
          <controlPr defaultSize="0" autoLine="0" r:id="rId13">
            <anchor moveWithCells="1">
              <from>
                <xdr:col>37</xdr:col>
                <xdr:colOff>257175</xdr:colOff>
                <xdr:row>15</xdr:row>
                <xdr:rowOff>47625</xdr:rowOff>
              </from>
              <to>
                <xdr:col>38</xdr:col>
                <xdr:colOff>1019175</xdr:colOff>
                <xdr:row>17</xdr:row>
                <xdr:rowOff>76200</xdr:rowOff>
              </to>
            </anchor>
          </controlPr>
        </control>
      </mc:Choice>
      <mc:Fallback>
        <control shapeId="1031" r:id="rId12" name="CheckBox1"/>
      </mc:Fallback>
    </mc:AlternateContent>
    <mc:AlternateContent xmlns:mc="http://schemas.openxmlformats.org/markup-compatibility/2006">
      <mc:Choice Requires="x14">
        <control shapeId="1026" r:id="rId14" name="CommandButton1">
          <controlPr defaultSize="0" autoLine="0" r:id="rId15">
            <anchor moveWithCells="1">
              <from>
                <xdr:col>38</xdr:col>
                <xdr:colOff>1114425</xdr:colOff>
                <xdr:row>15</xdr:row>
                <xdr:rowOff>0</xdr:rowOff>
              </from>
              <to>
                <xdr:col>41</xdr:col>
                <xdr:colOff>0</xdr:colOff>
                <xdr:row>17</xdr:row>
                <xdr:rowOff>9525</xdr:rowOff>
              </to>
            </anchor>
          </controlPr>
        </control>
      </mc:Choice>
      <mc:Fallback>
        <control shapeId="1026" r:id="rId14" name="CommandButton1"/>
      </mc:Fallback>
    </mc:AlternateContent>
    <mc:AlternateContent xmlns:mc="http://schemas.openxmlformats.org/markup-compatibility/2006">
      <mc:Choice Requires="x14">
        <control shapeId="1048" r:id="rId16" name="CommandButton5">
          <controlPr defaultSize="0" autoLine="0" r:id="rId17">
            <anchor moveWithCells="1">
              <from>
                <xdr:col>37</xdr:col>
                <xdr:colOff>466725</xdr:colOff>
                <xdr:row>3</xdr:row>
                <xdr:rowOff>200025</xdr:rowOff>
              </from>
              <to>
                <xdr:col>39</xdr:col>
                <xdr:colOff>276225</xdr:colOff>
                <xdr:row>5</xdr:row>
                <xdr:rowOff>0</xdr:rowOff>
              </to>
            </anchor>
          </controlPr>
        </control>
      </mc:Choice>
      <mc:Fallback>
        <control shapeId="1048" r:id="rId16" name="CommandButton5"/>
      </mc:Fallback>
    </mc:AlternateContent>
    <mc:AlternateContent xmlns:mc="http://schemas.openxmlformats.org/markup-compatibility/2006">
      <mc:Choice Requires="x14">
        <control shapeId="1029" r:id="rId18" name="Group Box 5">
          <controlPr defaultSize="0" autoFill="0" autoPict="0">
            <anchor moveWithCells="1">
              <from>
                <xdr:col>37</xdr:col>
                <xdr:colOff>180975</xdr:colOff>
                <xdr:row>14</xdr:row>
                <xdr:rowOff>57150</xdr:rowOff>
              </from>
              <to>
                <xdr:col>41</xdr:col>
                <xdr:colOff>104775</xdr:colOff>
                <xdr:row>20</xdr:row>
                <xdr:rowOff>104775</xdr:rowOff>
              </to>
            </anchor>
          </controlPr>
        </control>
      </mc:Choice>
    </mc:AlternateContent>
    <mc:AlternateContent xmlns:mc="http://schemas.openxmlformats.org/markup-compatibility/2006">
      <mc:Choice Requires="x14">
        <control shapeId="1036" r:id="rId19" name="Group Box 12">
          <controlPr defaultSize="0" autoFill="0" autoPict="0">
            <anchor moveWithCells="1">
              <from>
                <xdr:col>37</xdr:col>
                <xdr:colOff>28575</xdr:colOff>
                <xdr:row>0</xdr:row>
                <xdr:rowOff>76200</xdr:rowOff>
              </from>
              <to>
                <xdr:col>40</xdr:col>
                <xdr:colOff>171450</xdr:colOff>
                <xdr:row>2</xdr:row>
                <xdr:rowOff>200025</xdr:rowOff>
              </to>
            </anchor>
          </controlPr>
        </control>
      </mc:Choice>
    </mc:AlternateContent>
    <mc:AlternateContent xmlns:mc="http://schemas.openxmlformats.org/markup-compatibility/2006">
      <mc:Choice Requires="x14">
        <control shapeId="1044" r:id="rId20" name="Group Box 20">
          <controlPr defaultSize="0" autoFill="0" autoPict="0">
            <anchor moveWithCells="1">
              <from>
                <xdr:col>41</xdr:col>
                <xdr:colOff>438150</xdr:colOff>
                <xdr:row>14</xdr:row>
                <xdr:rowOff>38100</xdr:rowOff>
              </from>
              <to>
                <xdr:col>43</xdr:col>
                <xdr:colOff>161925</xdr:colOff>
                <xdr:row>20</xdr:row>
                <xdr:rowOff>104775</xdr:rowOff>
              </to>
            </anchor>
          </controlPr>
        </control>
      </mc:Choice>
    </mc:AlternateContent>
    <mc:AlternateContent xmlns:mc="http://schemas.openxmlformats.org/markup-compatibility/2006">
      <mc:Choice Requires="x14">
        <control shapeId="1046" r:id="rId21" name="Group Box 22">
          <controlPr defaultSize="0" autoFill="0" autoPict="0">
            <anchor moveWithCells="1">
              <from>
                <xdr:col>37</xdr:col>
                <xdr:colOff>57150</xdr:colOff>
                <xdr:row>3</xdr:row>
                <xdr:rowOff>47625</xdr:rowOff>
              </from>
              <to>
                <xdr:col>40</xdr:col>
                <xdr:colOff>9525</xdr:colOff>
                <xdr:row>8</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51"/>
  <sheetViews>
    <sheetView workbookViewId="0">
      <selection activeCell="Q60" sqref="Q60"/>
    </sheetView>
  </sheetViews>
  <sheetFormatPr defaultRowHeight="18.75"/>
  <cols>
    <col min="2" max="2" width="9.25" bestFit="1" customWidth="1"/>
    <col min="4" max="4" width="10.875" customWidth="1"/>
    <col min="10" max="10" width="9.875" customWidth="1"/>
  </cols>
  <sheetData>
    <row r="1" spans="1:3">
      <c r="A1" t="s">
        <v>66</v>
      </c>
    </row>
    <row r="2" spans="1:3">
      <c r="A2" t="s">
        <v>62</v>
      </c>
      <c r="B2" s="38">
        <v>43992</v>
      </c>
      <c r="C2" t="s">
        <v>63</v>
      </c>
    </row>
    <row r="3" spans="1:3">
      <c r="B3" s="38">
        <v>43993</v>
      </c>
      <c r="C3" t="s">
        <v>64</v>
      </c>
    </row>
    <row r="4" spans="1:3">
      <c r="B4" s="38">
        <v>43994</v>
      </c>
      <c r="C4" t="s">
        <v>65</v>
      </c>
    </row>
    <row r="5" spans="1:3">
      <c r="C5" t="s">
        <v>67</v>
      </c>
    </row>
    <row r="6" spans="1:3">
      <c r="C6" t="s">
        <v>68</v>
      </c>
    </row>
    <row r="7" spans="1:3">
      <c r="A7" t="s">
        <v>71</v>
      </c>
      <c r="B7" s="38">
        <v>44719</v>
      </c>
      <c r="C7" t="s">
        <v>72</v>
      </c>
    </row>
    <row r="8" spans="1:3">
      <c r="C8" t="s">
        <v>73</v>
      </c>
    </row>
    <row r="9" spans="1:3">
      <c r="C9" t="s">
        <v>74</v>
      </c>
    </row>
    <row r="10" spans="1:3">
      <c r="B10" s="38">
        <v>44880</v>
      </c>
      <c r="C10" t="s">
        <v>109</v>
      </c>
    </row>
    <row r="11" spans="1:3">
      <c r="B11" s="38"/>
    </row>
    <row r="12" spans="1:3">
      <c r="B12" s="38"/>
    </row>
    <row r="13" spans="1:3">
      <c r="B13" s="38"/>
    </row>
    <row r="14" spans="1:3">
      <c r="B14" s="38"/>
    </row>
    <row r="15" spans="1:3">
      <c r="B15" s="38"/>
    </row>
    <row r="16" spans="1:3">
      <c r="C16" t="s">
        <v>111</v>
      </c>
    </row>
    <row r="17" spans="1:16">
      <c r="C17" s="51" t="s">
        <v>112</v>
      </c>
    </row>
    <row r="18" spans="1:16">
      <c r="B18" s="38">
        <v>44890</v>
      </c>
      <c r="C18" t="s">
        <v>109</v>
      </c>
    </row>
    <row r="20" spans="1:16">
      <c r="C20" t="s">
        <v>108</v>
      </c>
    </row>
    <row r="21" spans="1:16">
      <c r="C21" t="s">
        <v>110</v>
      </c>
    </row>
    <row r="23" spans="1:16">
      <c r="A23" t="s">
        <v>119</v>
      </c>
      <c r="B23" s="38">
        <v>46017</v>
      </c>
      <c r="C23" t="s">
        <v>120</v>
      </c>
      <c r="D23" t="s">
        <v>121</v>
      </c>
    </row>
    <row r="24" spans="1:16">
      <c r="D24" t="s">
        <v>122</v>
      </c>
    </row>
    <row r="25" spans="1:16">
      <c r="C25" t="s">
        <v>123</v>
      </c>
      <c r="D25" t="s">
        <v>142</v>
      </c>
    </row>
    <row r="26" spans="1:16">
      <c r="D26" t="s">
        <v>124</v>
      </c>
    </row>
    <row r="28" spans="1:16">
      <c r="D28" t="s">
        <v>135</v>
      </c>
    </row>
    <row r="29" spans="1:16">
      <c r="K29" s="88" t="s">
        <v>138</v>
      </c>
    </row>
    <row r="30" spans="1:16">
      <c r="D30" t="s">
        <v>139</v>
      </c>
      <c r="F30" s="21" t="s">
        <v>125</v>
      </c>
      <c r="G30" s="21" t="s">
        <v>126</v>
      </c>
      <c r="H30" s="21" t="s">
        <v>127</v>
      </c>
      <c r="I30" s="21" t="s">
        <v>128</v>
      </c>
      <c r="J30" s="21" t="s">
        <v>129</v>
      </c>
      <c r="K30" s="86" t="s">
        <v>119</v>
      </c>
      <c r="L30" s="21" t="s">
        <v>130</v>
      </c>
      <c r="M30" s="21" t="s">
        <v>131</v>
      </c>
      <c r="N30" s="21" t="s">
        <v>132</v>
      </c>
      <c r="O30" s="21" t="s">
        <v>133</v>
      </c>
      <c r="P30" s="21" t="s">
        <v>134</v>
      </c>
    </row>
    <row r="32" spans="1:16">
      <c r="D32" t="s">
        <v>140</v>
      </c>
      <c r="F32" s="21" t="s">
        <v>136</v>
      </c>
      <c r="G32" s="21" t="s">
        <v>125</v>
      </c>
      <c r="H32" s="21" t="s">
        <v>126</v>
      </c>
      <c r="I32" s="21" t="s">
        <v>127</v>
      </c>
      <c r="J32" s="21" t="s">
        <v>128</v>
      </c>
      <c r="K32" s="86" t="s">
        <v>129</v>
      </c>
      <c r="L32" s="87" t="s">
        <v>119</v>
      </c>
      <c r="M32" s="21" t="s">
        <v>130</v>
      </c>
      <c r="N32" s="21" t="s">
        <v>131</v>
      </c>
      <c r="O32" s="21" t="s">
        <v>132</v>
      </c>
      <c r="P32" s="21" t="s">
        <v>133</v>
      </c>
    </row>
    <row r="34" spans="4:16">
      <c r="D34" t="s">
        <v>141</v>
      </c>
      <c r="F34" s="21" t="s">
        <v>137</v>
      </c>
      <c r="G34" s="21" t="s">
        <v>136</v>
      </c>
      <c r="H34" s="21" t="s">
        <v>125</v>
      </c>
      <c r="I34" s="21" t="s">
        <v>126</v>
      </c>
      <c r="J34" s="21" t="s">
        <v>127</v>
      </c>
      <c r="K34" s="86" t="s">
        <v>128</v>
      </c>
      <c r="L34" s="87" t="s">
        <v>129</v>
      </c>
      <c r="M34" s="87" t="s">
        <v>119</v>
      </c>
      <c r="N34" s="21" t="s">
        <v>130</v>
      </c>
      <c r="O34" s="21" t="s">
        <v>131</v>
      </c>
      <c r="P34" s="21" t="s">
        <v>132</v>
      </c>
    </row>
    <row r="36" spans="4:16">
      <c r="D36" t="s">
        <v>143</v>
      </c>
    </row>
    <row r="37" spans="4:16">
      <c r="D37" t="s">
        <v>144</v>
      </c>
    </row>
    <row r="38" spans="4:16">
      <c r="D38" t="s">
        <v>145</v>
      </c>
    </row>
    <row r="43" spans="4:16">
      <c r="K43" t="s">
        <v>147</v>
      </c>
    </row>
    <row r="47" spans="4:16">
      <c r="K47" t="s">
        <v>148</v>
      </c>
    </row>
    <row r="50" spans="13:13">
      <c r="M50" t="s">
        <v>149</v>
      </c>
    </row>
    <row r="51" spans="13:13">
      <c r="M51" t="s">
        <v>146</v>
      </c>
    </row>
  </sheetData>
  <phoneticPr fontId="1"/>
  <pageMargins left="0.7" right="0.7" top="0.75" bottom="0.75" header="0.3" footer="0.3"/>
  <pageSetup paperSize="9" orientation="portrait" horizontalDpi="300" verticalDpi="300" r:id="rId1"/>
  <headerFooter>
    <oddHeader>&amp;R&amp;"Calibri"&amp;14&amp;KFF0000 L2: Internal use only&amp;1#_x000D_</oddHeader>
  </headerFooter>
  <drawing r:id="rId2"/>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2022年5月～</vt:lpstr>
      <vt:lpstr>rireki</vt:lpstr>
      <vt:lpstr>'2022年5月～'!Print_Area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tdk</dc:creator>
  <cp:lastModifiedBy>Hiroki Watanabe</cp:lastModifiedBy>
  <cp:lastPrinted>2022-11-25T03:14:54Z</cp:lastPrinted>
  <dcterms:created xsi:type="dcterms:W3CDTF">2019-05-15T07:40:48Z</dcterms:created>
  <dcterms:modified xsi:type="dcterms:W3CDTF">2026-03-06T08:31:20Z</dcterms:modified>
</cp:coreProperties>
</file>